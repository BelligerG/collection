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O127" i="1" l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O67" i="1" l="1"/>
  <c r="N76" i="1"/>
  <c r="N75" i="1"/>
  <c r="N74" i="1"/>
  <c r="N73" i="1"/>
  <c r="N72" i="1"/>
  <c r="N71" i="1"/>
  <c r="N70" i="1"/>
  <c r="N69" i="1"/>
  <c r="N68" i="1"/>
  <c r="N67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G31" i="1" l="1"/>
  <c r="G32" i="1"/>
  <c r="G30" i="1"/>
  <c r="G29" i="1"/>
  <c r="G28" i="1"/>
  <c r="G27" i="1"/>
  <c r="G26" i="1"/>
  <c r="G25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<sst xmlns="http://schemas.openxmlformats.org/spreadsheetml/2006/main" count="13" uniqueCount="13">
  <si>
    <t>Bonds</t>
  </si>
  <si>
    <t>Dihedrals</t>
  </si>
  <si>
    <t>k</t>
  </si>
  <si>
    <t>n</t>
  </si>
  <si>
    <t>thi</t>
  </si>
  <si>
    <t>electrostatics</t>
  </si>
  <si>
    <t>qi</t>
  </si>
  <si>
    <t>qj</t>
  </si>
  <si>
    <t>r</t>
  </si>
  <si>
    <t>epsilon</t>
  </si>
  <si>
    <t>VdW</t>
  </si>
  <si>
    <t>welldepth</t>
  </si>
  <si>
    <t>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</si>
</sst>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Sheet1!$H$2:$H$20</c:f>
              <c:numCache>
                <c:formatCode>General</c:formatCode>
                <c:ptCount val="19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  <c:pt idx="11">
                  <c:v>1.55</c:v>
                </c:pt>
                <c:pt idx="12">
                  <c:v>1.6</c:v>
                </c:pt>
                <c:pt idx="13">
                  <c:v>1.65</c:v>
                </c:pt>
                <c:pt idx="14">
                  <c:v>1.7</c:v>
                </c:pt>
                <c:pt idx="15">
                  <c:v>1.75</c:v>
                </c:pt>
                <c:pt idx="16">
                  <c:v>1.8</c:v>
                </c:pt>
                <c:pt idx="17">
                  <c:v>1.85</c:v>
                </c:pt>
                <c:pt idx="18">
                  <c:v>1.9</c:v>
                </c:pt>
              </c:numCache>
            </c:numRef>
          </c:cat>
          <c:val>
            <c:numRef>
              <c:f>Sheet1!$I$2:$I$20</c:f>
              <c:numCache>
                <c:formatCode>General</c:formatCode>
                <c:ptCount val="19"/>
                <c:pt idx="0">
                  <c:v>2.0249999999999995</c:v>
                </c:pt>
                <c:pt idx="1">
                  <c:v>1.5999999999999992</c:v>
                </c:pt>
                <c:pt idx="2">
                  <c:v>1.224999999999999</c:v>
                </c:pt>
                <c:pt idx="3">
                  <c:v>0.90000000000000024</c:v>
                </c:pt>
                <c:pt idx="4">
                  <c:v>0.625</c:v>
                </c:pt>
                <c:pt idx="5">
                  <c:v>0.3999999999999998</c:v>
                </c:pt>
                <c:pt idx="6">
                  <c:v>0.22499999999999976</c:v>
                </c:pt>
                <c:pt idx="7">
                  <c:v>9.9999999999999742E-2</c:v>
                </c:pt>
                <c:pt idx="8">
                  <c:v>2.5000000000000043E-2</c:v>
                </c:pt>
                <c:pt idx="9">
                  <c:v>0</c:v>
                </c:pt>
                <c:pt idx="10">
                  <c:v>2.5000000000000043E-2</c:v>
                </c:pt>
                <c:pt idx="11">
                  <c:v>0.10000000000000017</c:v>
                </c:pt>
                <c:pt idx="12">
                  <c:v>0.22500000000000042</c:v>
                </c:pt>
                <c:pt idx="13">
                  <c:v>0.3999999999999998</c:v>
                </c:pt>
                <c:pt idx="14">
                  <c:v>0.625</c:v>
                </c:pt>
                <c:pt idx="15">
                  <c:v>0.90000000000000024</c:v>
                </c:pt>
                <c:pt idx="16">
                  <c:v>1.2250000000000008</c:v>
                </c:pt>
                <c:pt idx="17">
                  <c:v>1.6000000000000012</c:v>
                </c:pt>
                <c:pt idx="18">
                  <c:v>2.0249999999999995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14144"/>
        <c:axId val="99205888"/>
      </c:lineChart>
      <c:catAx>
        <c:axId val="9741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205888"/>
        <c:crosses val="autoZero"/>
        <c:auto val="1"/>
        <c:lblAlgn val="ctr"/>
        <c:lblOffset val="100"/>
        <c:noMultiLvlLbl val="0"/>
      </c:catAx>
      <c:valAx>
        <c:axId val="99205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7414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Sheet1!$H$25:$H$41</c:f>
              <c:numCache>
                <c:formatCode>General</c:formatCode>
                <c:ptCount val="17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</c:numCache>
            </c:numRef>
          </c:cat>
          <c:val>
            <c:numRef>
              <c:f>Sheet1!$I$25:$I$41</c:f>
              <c:numCache>
                <c:formatCode>General</c:formatCode>
                <c:ptCount val="17"/>
                <c:pt idx="0">
                  <c:v>5.8385316345285769</c:v>
                </c:pt>
                <c:pt idx="1">
                  <c:v>0.10007503399554585</c:v>
                </c:pt>
                <c:pt idx="2">
                  <c:v>3.4635637913638808</c:v>
                </c:pt>
                <c:pt idx="3">
                  <c:v>12.836621854632263</c:v>
                </c:pt>
                <c:pt idx="4">
                  <c:v>19.601702866503658</c:v>
                </c:pt>
                <c:pt idx="5">
                  <c:v>17.539022543433049</c:v>
                </c:pt>
                <c:pt idx="6">
                  <c:v>8.5449996619138648</c:v>
                </c:pt>
                <c:pt idx="7">
                  <c:v>0.8886973811532306</c:v>
                </c:pt>
                <c:pt idx="8">
                  <c:v>1.6092847092354756</c:v>
                </c:pt>
                <c:pt idx="9">
                  <c:v>10.044256979880508</c:v>
                </c:pt>
                <c:pt idx="10">
                  <c:v>18.438539587324922</c:v>
                </c:pt>
                <c:pt idx="11">
                  <c:v>19.074467814501965</c:v>
                </c:pt>
                <c:pt idx="12">
                  <c:v>11.367372182078338</c:v>
                </c:pt>
                <c:pt idx="13">
                  <c:v>2.4031208714117867</c:v>
                </c:pt>
                <c:pt idx="14">
                  <c:v>0.4234051967661534</c:v>
                </c:pt>
                <c:pt idx="15">
                  <c:v>7.2483666194840302</c:v>
                </c:pt>
                <c:pt idx="16">
                  <c:v>16.603167082440802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96640"/>
        <c:axId val="99698176"/>
      </c:lineChart>
      <c:catAx>
        <c:axId val="9969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698176"/>
        <c:crosses val="autoZero"/>
        <c:auto val="1"/>
        <c:lblAlgn val="ctr"/>
        <c:lblOffset val="100"/>
        <c:noMultiLvlLbl val="0"/>
      </c:catAx>
      <c:valAx>
        <c:axId val="9969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696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Sheet1!$F$25:$F$96</c:f>
              <c:numCache>
                <c:formatCode>General</c:formatCode>
                <c:ptCount val="7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</c:numCache>
            </c:numRef>
          </c:cat>
          <c:val>
            <c:numRef>
              <c:f>Sheet1!$G$25:$G$96</c:f>
              <c:numCache>
                <c:formatCode>General</c:formatCode>
                <c:ptCount val="72"/>
                <c:pt idx="0">
                  <c:v>15.403023058681399</c:v>
                </c:pt>
                <c:pt idx="1">
                  <c:v>13.153223623952686</c:v>
                </c:pt>
                <c:pt idx="2">
                  <c:v>10.707372016677027</c:v>
                </c:pt>
                <c:pt idx="3">
                  <c:v>8.2175394435050801</c:v>
                </c:pt>
                <c:pt idx="4">
                  <c:v>5.8385316345285769</c:v>
                </c:pt>
                <c:pt idx="5">
                  <c:v>3.7182637727726089</c:v>
                </c:pt>
                <c:pt idx="6">
                  <c:v>1.988563844530663</c:v>
                </c:pt>
                <c:pt idx="7">
                  <c:v>0.75697621367536438</c:v>
                </c:pt>
                <c:pt idx="8">
                  <c:v>0.10007503399554585</c:v>
                </c:pt>
                <c:pt idx="9">
                  <c:v>5.870323919453746E-2</c:v>
                </c:pt>
                <c:pt idx="10">
                  <c:v>0.63543312709203659</c:v>
                </c:pt>
                <c:pt idx="11">
                  <c:v>1.7944064266043924</c:v>
                </c:pt>
                <c:pt idx="12">
                  <c:v>3.4635637913638808</c:v>
                </c:pt>
                <c:pt idx="13">
                  <c:v>5.5391251008620728</c:v>
                </c:pt>
                <c:pt idx="14">
                  <c:v>7.892042005692204</c:v>
                </c:pt>
                <c:pt idx="15">
                  <c:v>10.376021528879766</c:v>
                </c:pt>
                <c:pt idx="16">
                  <c:v>12.836621854632263</c:v>
                </c:pt>
                <c:pt idx="17">
                  <c:v>15.120854772418406</c:v>
                </c:pt>
                <c:pt idx="18">
                  <c:v>17.086697742912598</c:v>
                </c:pt>
                <c:pt idx="19">
                  <c:v>18.611924171615208</c:v>
                </c:pt>
                <c:pt idx="20">
                  <c:v>19.601702866503658</c:v>
                </c:pt>
                <c:pt idx="21">
                  <c:v>19.994494182244992</c:v>
                </c:pt>
                <c:pt idx="22">
                  <c:v>19.765876257280233</c:v>
                </c:pt>
                <c:pt idx="23">
                  <c:v>18.930063446890767</c:v>
                </c:pt>
                <c:pt idx="24">
                  <c:v>17.539022543433049</c:v>
                </c:pt>
                <c:pt idx="25">
                  <c:v>15.679241732886949</c:v>
                </c:pt>
                <c:pt idx="26">
                  <c:v>13.466353178350259</c:v>
                </c:pt>
                <c:pt idx="27">
                  <c:v>11.03794357219253</c:v>
                </c:pt>
                <c:pt idx="28">
                  <c:v>8.5449996619138648</c:v>
                </c:pt>
                <c:pt idx="29">
                  <c:v>6.1425206254777818</c:v>
                </c:pt>
                <c:pt idx="30">
                  <c:v>3.9798809731517637</c:v>
                </c:pt>
                <c:pt idx="31">
                  <c:v>2.1915431639425087</c:v>
                </c:pt>
                <c:pt idx="32">
                  <c:v>0.8886973811532306</c:v>
                </c:pt>
                <c:pt idx="33">
                  <c:v>0.15234826532676382</c:v>
                </c:pt>
                <c:pt idx="34">
                  <c:v>2.8278438036215547E-2</c:v>
                </c:pt>
                <c:pt idx="35">
                  <c:v>0.5242019602200676</c:v>
                </c:pt>
                <c:pt idx="36">
                  <c:v>1.6092847092354756</c:v>
                </c:pt>
                <c:pt idx="37">
                  <c:v>3.2160614952615472</c:v>
                </c:pt>
                <c:pt idx="38">
                  <c:v>5.2446307200400755</c:v>
                </c:pt>
                <c:pt idx="39">
                  <c:v>7.5688657743897005</c:v>
                </c:pt>
                <c:pt idx="40">
                  <c:v>10.044256979880508</c:v>
                </c:pt>
                <c:pt idx="41">
                  <c:v>12.516896500717545</c:v>
                </c:pt>
                <c:pt idx="42">
                  <c:v>14.833047587530059</c:v>
                </c:pt>
                <c:pt idx="43">
                  <c:v>16.848703183835532</c:v>
                </c:pt>
                <c:pt idx="44">
                  <c:v>18.438539587324922</c:v>
                </c:pt>
                <c:pt idx="45">
                  <c:v>19.503708470676735</c:v>
                </c:pt>
                <c:pt idx="46">
                  <c:v>19.977982791785806</c:v>
                </c:pt>
                <c:pt idx="47">
                  <c:v>19.831874470475917</c:v>
                </c:pt>
                <c:pt idx="48">
                  <c:v>19.074467814501965</c:v>
                </c:pt>
                <c:pt idx="49">
                  <c:v>17.752854701292879</c:v>
                </c:pt>
                <c:pt idx="50">
                  <c:v>15.949206633098921</c:v>
                </c:pt>
                <c:pt idx="51">
                  <c:v>13.775665710972934</c:v>
                </c:pt>
                <c:pt idx="52">
                  <c:v>11.367372182078338</c:v>
                </c:pt>
                <c:pt idx="53">
                  <c:v>8.8740620736616442</c:v>
                </c:pt>
                <c:pt idx="54">
                  <c:v>6.4507573321129508</c:v>
                </c:pt>
                <c:pt idx="55">
                  <c:v>4.248127309175973</c:v>
                </c:pt>
                <c:pt idx="56">
                  <c:v>2.4031208714117867</c:v>
                </c:pt>
                <c:pt idx="57">
                  <c:v>1.030451582977111</c:v>
                </c:pt>
                <c:pt idx="58">
                  <c:v>0.21546537181115766</c:v>
                </c:pt>
                <c:pt idx="59">
                  <c:v>8.8341332026597996E-3</c:v>
                </c:pt>
                <c:pt idx="60">
                  <c:v>0.4234051967661534</c:v>
                </c:pt>
                <c:pt idx="61">
                  <c:v>1.4334025417115759</c:v>
                </c:pt>
                <c:pt idx="62">
                  <c:v>2.9760294249728645</c:v>
                </c:pt>
                <c:pt idx="63">
                  <c:v>4.9553727785407196</c:v>
                </c:pt>
                <c:pt idx="64">
                  <c:v>7.2483666194840302</c:v>
                </c:pt>
                <c:pt idx="65">
                  <c:v>9.712443696708128</c:v>
                </c:pt>
                <c:pt idx="66">
                  <c:v>12.194399632114594</c:v>
                </c:pt>
                <c:pt idx="67">
                  <c:v>14.539918426798069</c:v>
                </c:pt>
                <c:pt idx="68">
                  <c:v>16.603167082440802</c:v>
                </c:pt>
                <c:pt idx="69">
                  <c:v>18.255862790817389</c:v>
                </c:pt>
                <c:pt idx="70">
                  <c:v>19.39524893748256</c:v>
                </c:pt>
                <c:pt idx="71">
                  <c:v>19.950484010363787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42848"/>
        <c:axId val="99744384"/>
      </c:lineChart>
      <c:catAx>
        <c:axId val="9974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44384"/>
        <c:crosses val="autoZero"/>
        <c:auto val="1"/>
        <c:lblAlgn val="ctr"/>
        <c:lblOffset val="100"/>
        <c:noMultiLvlLbl val="0"/>
      </c:catAx>
      <c:valAx>
        <c:axId val="9974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74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Sheet1!$M$67:$M$103</c:f>
              <c:numCache>
                <c:formatCode>General</c:formatCode>
                <c:ptCount val="3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</c:numCache>
            </c:numRef>
          </c:cat>
          <c:val>
            <c:numRef>
              <c:f>Sheet1!$N$77:$N$103</c:f>
              <c:numCache>
                <c:formatCode>General</c:formatCode>
                <c:ptCount val="27"/>
                <c:pt idx="0">
                  <c:v>-7.9577994710928163E-2</c:v>
                </c:pt>
                <c:pt idx="1">
                  <c:v>-7.2343631555389226E-2</c:v>
                </c:pt>
                <c:pt idx="2">
                  <c:v>-6.631499559244014E-2</c:v>
                </c:pt>
                <c:pt idx="3">
                  <c:v>-6.1213842085329352E-2</c:v>
                </c:pt>
                <c:pt idx="4">
                  <c:v>-5.6841424793520119E-2</c:v>
                </c:pt>
                <c:pt idx="5">
                  <c:v>-5.3051996473952104E-2</c:v>
                </c:pt>
                <c:pt idx="6">
                  <c:v>-4.9736246694330098E-2</c:v>
                </c:pt>
                <c:pt idx="7">
                  <c:v>-4.6810585124075391E-2</c:v>
                </c:pt>
                <c:pt idx="8">
                  <c:v>-4.4209997061626753E-2</c:v>
                </c:pt>
                <c:pt idx="9">
                  <c:v>-4.1883155111014821E-2</c:v>
                </c:pt>
                <c:pt idx="10">
                  <c:v>-3.9788997355464081E-2</c:v>
                </c:pt>
                <c:pt idx="11">
                  <c:v>-3.789428319568007E-2</c:v>
                </c:pt>
                <c:pt idx="12">
                  <c:v>-3.6171815777694613E-2</c:v>
                </c:pt>
                <c:pt idx="13">
                  <c:v>-3.4599128135186161E-2</c:v>
                </c:pt>
                <c:pt idx="14">
                  <c:v>-3.315749779622007E-2</c:v>
                </c:pt>
                <c:pt idx="15">
                  <c:v>-3.1831197884371262E-2</c:v>
                </c:pt>
                <c:pt idx="16">
                  <c:v>-3.0606921042664676E-2</c:v>
                </c:pt>
                <c:pt idx="17">
                  <c:v>-2.9473331374417835E-2</c:v>
                </c:pt>
                <c:pt idx="18">
                  <c:v>-2.842071239676006E-2</c:v>
                </c:pt>
                <c:pt idx="19">
                  <c:v>-2.7440687831354539E-2</c:v>
                </c:pt>
                <c:pt idx="20">
                  <c:v>-2.6525998236976052E-2</c:v>
                </c:pt>
                <c:pt idx="21">
                  <c:v>-2.5670320874492954E-2</c:v>
                </c:pt>
                <c:pt idx="22">
                  <c:v>-2.4868123347165049E-2</c:v>
                </c:pt>
                <c:pt idx="23">
                  <c:v>-2.4114543851796413E-2</c:v>
                </c:pt>
                <c:pt idx="24">
                  <c:v>-2.3405292562037695E-2</c:v>
                </c:pt>
                <c:pt idx="25">
                  <c:v>-2.2736569917408047E-2</c:v>
                </c:pt>
                <c:pt idx="26">
                  <c:v>-2.2104998530813377E-2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22048"/>
        <c:axId val="110323584"/>
      </c:line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Sheet1!$O$68:$O$75</c:f>
              <c:numCache>
                <c:formatCode>General</c:formatCode>
                <c:ptCount val="8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56576"/>
        <c:axId val="88454272"/>
      </c:lineChart>
      <c:catAx>
        <c:axId val="1103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32358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10323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322048"/>
        <c:crosses val="autoZero"/>
        <c:crossBetween val="between"/>
      </c:valAx>
      <c:valAx>
        <c:axId val="88454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88456576"/>
        <c:crosses val="max"/>
        <c:crossBetween val="between"/>
      </c:valAx>
      <c:catAx>
        <c:axId val="88456576"/>
        <c:scaling>
          <c:orientation val="minMax"/>
        </c:scaling>
        <c:delete val="1"/>
        <c:axPos val="b"/>
        <c:majorTickMark val="out"/>
        <c:minorTickMark val="none"/>
        <c:tickLblPos val="nextTo"/>
        <c:crossAx val="8845427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Electrostatics</c:v>
          </c:tx>
          <c:marker>
            <c:symbol val="none"/>
          </c:marker>
          <c:xVal>
            <c:numRef>
              <c:f>Sheet1!$M$68:$M$127</c:f>
              <c:numCache>
                <c:formatCode>General</c:formatCode>
                <c:ptCount val="6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</c:numCache>
            </c:numRef>
          </c:xVal>
          <c:yVal>
            <c:numRef>
              <c:f>Sheet1!$N$68:$N$127</c:f>
              <c:numCache>
                <c:formatCode>General</c:formatCode>
                <c:ptCount val="60"/>
                <c:pt idx="0">
                  <c:v>-0.79577994710928157</c:v>
                </c:pt>
                <c:pt idx="1">
                  <c:v>-0.39788997355464079</c:v>
                </c:pt>
                <c:pt idx="2">
                  <c:v>-0.26525998236976056</c:v>
                </c:pt>
                <c:pt idx="3">
                  <c:v>-0.19894498677732039</c:v>
                </c:pt>
                <c:pt idx="4">
                  <c:v>-0.15915598942185633</c:v>
                </c:pt>
                <c:pt idx="5">
                  <c:v>-0.13262999118488028</c:v>
                </c:pt>
                <c:pt idx="6">
                  <c:v>-0.11368284958704024</c:v>
                </c:pt>
                <c:pt idx="7">
                  <c:v>-9.9472493388660196E-2</c:v>
                </c:pt>
                <c:pt idx="8">
                  <c:v>-8.8419994123253506E-2</c:v>
                </c:pt>
                <c:pt idx="9">
                  <c:v>-7.9577994710928163E-2</c:v>
                </c:pt>
                <c:pt idx="10">
                  <c:v>-7.2343631555389226E-2</c:v>
                </c:pt>
                <c:pt idx="11">
                  <c:v>-6.631499559244014E-2</c:v>
                </c:pt>
                <c:pt idx="12">
                  <c:v>-6.1213842085329352E-2</c:v>
                </c:pt>
                <c:pt idx="13">
                  <c:v>-5.6841424793520119E-2</c:v>
                </c:pt>
                <c:pt idx="14">
                  <c:v>-5.3051996473952104E-2</c:v>
                </c:pt>
                <c:pt idx="15">
                  <c:v>-4.9736246694330098E-2</c:v>
                </c:pt>
                <c:pt idx="16">
                  <c:v>-4.6810585124075391E-2</c:v>
                </c:pt>
                <c:pt idx="17">
                  <c:v>-4.4209997061626753E-2</c:v>
                </c:pt>
                <c:pt idx="18">
                  <c:v>-4.1883155111014821E-2</c:v>
                </c:pt>
                <c:pt idx="19">
                  <c:v>-3.9788997355464081E-2</c:v>
                </c:pt>
                <c:pt idx="20">
                  <c:v>-3.789428319568007E-2</c:v>
                </c:pt>
                <c:pt idx="21">
                  <c:v>-3.6171815777694613E-2</c:v>
                </c:pt>
                <c:pt idx="22">
                  <c:v>-3.4599128135186161E-2</c:v>
                </c:pt>
                <c:pt idx="23">
                  <c:v>-3.315749779622007E-2</c:v>
                </c:pt>
                <c:pt idx="24">
                  <c:v>-3.1831197884371262E-2</c:v>
                </c:pt>
                <c:pt idx="25">
                  <c:v>-3.0606921042664676E-2</c:v>
                </c:pt>
                <c:pt idx="26">
                  <c:v>-2.9473331374417835E-2</c:v>
                </c:pt>
                <c:pt idx="27">
                  <c:v>-2.842071239676006E-2</c:v>
                </c:pt>
                <c:pt idx="28">
                  <c:v>-2.7440687831354539E-2</c:v>
                </c:pt>
                <c:pt idx="29">
                  <c:v>-2.6525998236976052E-2</c:v>
                </c:pt>
                <c:pt idx="30">
                  <c:v>-2.5670320874492954E-2</c:v>
                </c:pt>
                <c:pt idx="31">
                  <c:v>-2.4868123347165049E-2</c:v>
                </c:pt>
                <c:pt idx="32">
                  <c:v>-2.4114543851796413E-2</c:v>
                </c:pt>
                <c:pt idx="33">
                  <c:v>-2.3405292562037695E-2</c:v>
                </c:pt>
                <c:pt idx="34">
                  <c:v>-2.2736569917408047E-2</c:v>
                </c:pt>
                <c:pt idx="35">
                  <c:v>-2.2104998530813377E-2</c:v>
                </c:pt>
                <c:pt idx="36">
                  <c:v>-2.1507566138088689E-2</c:v>
                </c:pt>
                <c:pt idx="37">
                  <c:v>-2.094157755550741E-2</c:v>
                </c:pt>
                <c:pt idx="38">
                  <c:v>-2.0404614028443117E-2</c:v>
                </c:pt>
                <c:pt idx="39">
                  <c:v>-1.9894498677732041E-2</c:v>
                </c:pt>
                <c:pt idx="40">
                  <c:v>-1.9409267002665407E-2</c:v>
                </c:pt>
                <c:pt idx="41">
                  <c:v>-1.8947141597840035E-2</c:v>
                </c:pt>
                <c:pt idx="42">
                  <c:v>-1.850651039789027E-2</c:v>
                </c:pt>
                <c:pt idx="43">
                  <c:v>-1.8085907888847307E-2</c:v>
                </c:pt>
                <c:pt idx="44">
                  <c:v>-1.7683998824650701E-2</c:v>
                </c:pt>
                <c:pt idx="45">
                  <c:v>-1.729956406759308E-2</c:v>
                </c:pt>
                <c:pt idx="46">
                  <c:v>-1.6931488236367694E-2</c:v>
                </c:pt>
                <c:pt idx="47">
                  <c:v>-1.6578748898110035E-2</c:v>
                </c:pt>
                <c:pt idx="48">
                  <c:v>-1.6240407083862887E-2</c:v>
                </c:pt>
                <c:pt idx="49">
                  <c:v>-1.5915598942185631E-2</c:v>
                </c:pt>
                <c:pt idx="50">
                  <c:v>-1.5603528374691795E-2</c:v>
                </c:pt>
                <c:pt idx="51">
                  <c:v>-1.5303460521332338E-2</c:v>
                </c:pt>
                <c:pt idx="52">
                  <c:v>-1.5014715983193991E-2</c:v>
                </c:pt>
                <c:pt idx="53">
                  <c:v>-1.4736665687208918E-2</c:v>
                </c:pt>
                <c:pt idx="54">
                  <c:v>-1.4468726311077845E-2</c:v>
                </c:pt>
                <c:pt idx="55">
                  <c:v>-1.421035619838003E-2</c:v>
                </c:pt>
                <c:pt idx="56">
                  <c:v>-1.3961051703671607E-2</c:v>
                </c:pt>
                <c:pt idx="57">
                  <c:v>-1.372034391567727E-2</c:v>
                </c:pt>
                <c:pt idx="58">
                  <c:v>-1.3487795713716636E-2</c:v>
                </c:pt>
                <c:pt idx="59">
                  <c:v>-1.3262999118488026E-2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6576"/>
        <c:axId val="44438656"/>
      </c:scatterChart>
      <c:scatterChart>
        <c:scatterStyle val="smoothMarker"/>
        <c:varyColors val="0"/>
        <c:ser>
          <c:idx val="1"/>
          <c:order val="1"/>
          <c:tx>
            <c:v>Dispersion</c:v>
          </c:tx>
          <c:marker>
            <c:symbol val="none"/>
          </c:marker>
          <c:xVal>
            <c:numRef>
              <c:f>Sheet1!$M$68:$M$127</c:f>
              <c:numCache>
                <c:formatCode>General</c:formatCode>
                <c:ptCount val="6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</c:numCache>
            </c:numRef>
          </c:xVal>
          <c:yVal>
            <c:numRef>
              <c:f>Sheet1!$O$68:$O$127</c:f>
              <c:numCache>
                <c:formatCode>General</c:formatCode>
                <c:ptCount val="60"/>
                <c:pt idx="8">
                  <c:v>1.6590297383132309</c:v>
                </c:pt>
                <c:pt idx="9">
                  <c:v>0</c:v>
                </c:pt>
                <c:pt idx="10">
                  <c:v>-0.2458431123434206</c:v>
                </c:pt>
                <c:pt idx="11">
                  <c:v>-0.22274132189576906</c:v>
                </c:pt>
                <c:pt idx="12">
                  <c:v>-0.16425422861501177</c:v>
                </c:pt>
                <c:pt idx="13">
                  <c:v>-0.1151717305515363</c:v>
                </c:pt>
                <c:pt idx="14">
                  <c:v>-8.0084148569643659E-2</c:v>
                </c:pt>
                <c:pt idx="15">
                  <c:v>-5.6051931096590124E-2</c:v>
                </c:pt>
                <c:pt idx="16">
                  <c:v>-3.9712814790616287E-2</c:v>
                </c:pt>
                <c:pt idx="17">
                  <c:v>-2.8536763896654983E-2</c:v>
                </c:pt>
                <c:pt idx="18">
                  <c:v>-2.0804034980899874E-2</c:v>
                </c:pt>
                <c:pt idx="19">
                  <c:v>-1.5380859375E-2</c:v>
                </c:pt>
                <c:pt idx="20">
                  <c:v>-1.1523668937150049E-2</c:v>
                </c:pt>
                <c:pt idx="21">
                  <c:v>-8.7421144301102014E-3</c:v>
                </c:pt>
                <c:pt idx="22">
                  <c:v>-6.7094870576545279E-3</c:v>
                </c:pt>
                <c:pt idx="23">
                  <c:v>-5.2053988898339782E-3</c:v>
                </c:pt>
                <c:pt idx="24">
                  <c:v>-4.0792227840000025E-3</c:v>
                </c:pt>
                <c:pt idx="25">
                  <c:v>-3.2266492977769084E-3</c:v>
                </c:pt>
                <c:pt idx="26">
                  <c:v>-2.5745123284078206E-3</c:v>
                </c:pt>
                <c:pt idx="27">
                  <c:v>-2.0708547788661417E-3</c:v>
                </c:pt>
                <c:pt idx="28">
                  <c:v>-1.6783451375889859E-3</c:v>
                </c:pt>
                <c:pt idx="29">
                  <c:v>-1.3698604360596943E-3</c:v>
                </c:pt>
                <c:pt idx="30">
                  <c:v>-1.1254863112054616E-3</c:v>
                </c:pt>
                <c:pt idx="31">
                  <c:v>-9.3045521287749011E-4</c:v>
                </c:pt>
                <c:pt idx="32">
                  <c:v>-7.7371310115608978E-4</c:v>
                </c:pt>
                <c:pt idx="33">
                  <c:v>-6.4691210001200977E-4</c:v>
                </c:pt>
                <c:pt idx="34">
                  <c:v>-5.436950979137476E-4</c:v>
                </c:pt>
                <c:pt idx="35">
                  <c:v>-4.5918261546477494E-4</c:v>
                </c:pt>
                <c:pt idx="36">
                  <c:v>-3.8960126197558673E-4</c:v>
                </c:pt>
                <c:pt idx="37">
                  <c:v>-3.3201228784471656E-4</c:v>
                </c:pt>
                <c:pt idx="38">
                  <c:v>-2.8411156809625442E-4</c:v>
                </c:pt>
                <c:pt idx="39">
                  <c:v>-2.4408102035522461E-4</c:v>
                </c:pt>
                <c:pt idx="40">
                  <c:v>-2.1047737640674007E-4</c:v>
                </c:pt>
                <c:pt idx="41">
                  <c:v>-1.8214830322298102E-4</c:v>
                </c:pt>
                <c:pt idx="42">
                  <c:v>-1.5816870483780778E-4</c:v>
                </c:pt>
                <c:pt idx="43">
                  <c:v>-1.3779202620283133E-4</c:v>
                </c:pt>
                <c:pt idx="44">
                  <c:v>-1.2041278834973351E-4</c:v>
                </c:pt>
                <c:pt idx="45">
                  <c:v>-1.0553758893630198E-4</c:v>
                </c:pt>
                <c:pt idx="46">
                  <c:v>-9.2762524761764631E-5</c:v>
                </c:pt>
                <c:pt idx="47">
                  <c:v>-8.1755516280416793E-5</c:v>
                </c:pt>
                <c:pt idx="48">
                  <c:v>-7.2242396091018752E-5</c:v>
                </c:pt>
                <c:pt idx="49">
                  <c:v>-6.3995904000000033E-5</c:v>
                </c:pt>
                <c:pt idx="50">
                  <c:v>-5.6826938791869161E-5</c:v>
                </c:pt>
                <c:pt idx="51">
                  <c:v>-5.0577571297214235E-5</c:v>
                </c:pt>
                <c:pt idx="52">
                  <c:v>-4.5115439001626098E-5</c:v>
                </c:pt>
                <c:pt idx="53">
                  <c:v>-4.0329229542563274E-5</c:v>
                </c:pt>
                <c:pt idx="54">
                  <c:v>-3.6125026411612423E-5</c:v>
                </c:pt>
                <c:pt idx="55">
                  <c:v>-3.2423340414167833E-5</c:v>
                </c:pt>
                <c:pt idx="56">
                  <c:v>-2.9156688889695556E-5</c:v>
                </c:pt>
                <c:pt idx="57">
                  <c:v>-2.6267614274903886E-5</c:v>
                </c:pt>
                <c:pt idx="58">
                  <c:v>-2.3707056456239405E-5</c:v>
                </c:pt>
                <c:pt idx="59">
                  <c:v>-2.1433011113886581E-5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62976"/>
        <c:axId val="84460672"/>
      </c:scatterChart>
      <c:valAx>
        <c:axId val="44456576"/>
        <c:scaling>
          <c:orientation val="minMax"/>
          <c:max val="6"/>
        </c:scaling>
        <c:delete val="0"/>
        <c:axPos val="b"/>
        <c:numFmt formatCode="General" sourceLinked="1"/>
        <c:majorTickMark val="out"/>
        <c:minorTickMark val="none"/>
        <c:tickLblPos val="nextTo"/>
        <c:crossAx val="44438656"/>
        <c:crosses val="autoZero"/>
        <c:crossBetween val="midCat"/>
      </c:valAx>
      <c:valAx>
        <c:axId val="44438656"/>
        <c:scaling>
          <c:orientation val="minMax"/>
          <c:min val="-0.8"/>
        </c:scaling>
        <c:delete val="0"/>
        <c:axPos val="l"/>
        <c:numFmt formatCode="General" sourceLinked="1"/>
        <c:majorTickMark val="out"/>
        <c:minorTickMark val="none"/>
        <c:tickLblPos val="nextTo"/>
        <c:crossAx val="44456576"/>
        <c:crosses val="autoZero"/>
        <c:crossBetween val="midCat"/>
      </c:valAx>
      <c:valAx>
        <c:axId val="84460672"/>
        <c:scaling>
          <c:orientation val="minMax"/>
          <c:min val="-0.5"/>
        </c:scaling>
        <c:delete val="0"/>
        <c:axPos val="r"/>
        <c:numFmt formatCode="General" sourceLinked="1"/>
        <c:majorTickMark val="out"/>
        <c:minorTickMark val="none"/>
        <c:tickLblPos val="nextTo"/>
        <c:crossAx val="84462976"/>
        <c:crosses val="max"/>
        <c:crossBetween val="midCat"/>
      </c:valAx>
      <c:valAx>
        <c:axId val="8446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460672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7</xdr:row>
      <xdr:rowOff>4762</xdr:rowOff>
    </xdr:from>
    <xdr:to>
      <xdr:col>17</xdr:col>
      <xdr:colOff>180975</xdr:colOff>
      <xdr:row>21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28</xdr:row>
      <xdr:rowOff>42862</xdr:rowOff>
    </xdr:from>
    <xdr:to>
      <xdr:col>19</xdr:col>
      <xdr:colOff>371475</xdr:colOff>
      <xdr:row>42</xdr:row>
      <xdr:rowOff>119062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209550</xdr:colOff>
      <xdr:row>41</xdr:row>
      <xdr:rowOff>33337</xdr:rowOff>
    </xdr:from>
    <xdr:to>
      <xdr:col>17</xdr:col>
      <xdr:colOff>514350</xdr:colOff>
      <xdr:row>55</xdr:row>
      <xdr:rowOff>109537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466725</xdr:colOff>
      <xdr:row>72</xdr:row>
      <xdr:rowOff>185737</xdr:rowOff>
    </xdr:from>
    <xdr:to>
      <xdr:col>27</xdr:col>
      <xdr:colOff>161925</xdr:colOff>
      <xdr:row>87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161925</xdr:colOff>
      <xdr:row>88</xdr:row>
      <xdr:rowOff>109537</xdr:rowOff>
    </xdr:from>
    <xdr:to>
      <xdr:col>26</xdr:col>
      <xdr:colOff>466725</xdr:colOff>
      <xdr:row>102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T127"/>
  <sheetViews>
    <sheetView tabSelected="1" topLeftCell="K80" workbookViewId="0">
      <selection activeCell="R88" sqref="R88"/>
    </sheetView>
  </sheetViews>
  <sheetFormatPr defaultRowHeight="15" x14ac:dyDescent="0.25"/>
  <sheetData>
    <row r="1" spans="8:13" x14ac:dyDescent="0.25">
      <c r="H1" t="s">
        <v>0</v>
      </c>
    </row>
    <row r="2" spans="8:13" x14ac:dyDescent="0.25">
      <c r="H2">
        <v>1</v>
      </c>
      <c r="I2">
        <f>$M$2*(H2-$H$11)^2</f>
        <v>2.0249999999999995</v>
      </c>
      <c r="M2">
        <v>10</v>
      </c>
    </row>
    <row r="3" spans="8:13" x14ac:dyDescent="0.25">
      <c r="H3">
        <v>1.05</v>
      </c>
      <c r="I3">
        <f t="shared" ref="I3:I21" si="0">$M$2*(H3-$H$11)^2</f>
        <v>1.5999999999999992</v>
      </c>
    </row>
    <row r="4" spans="8:13" x14ac:dyDescent="0.25">
      <c r="H4">
        <v>1.1000000000000001</v>
      </c>
      <c r="I4">
        <f t="shared" si="0"/>
        <v>1.224999999999999</v>
      </c>
    </row>
    <row r="5" spans="8:13" x14ac:dyDescent="0.25">
      <c r="H5">
        <v>1.1499999999999999</v>
      </c>
      <c r="I5">
        <f t="shared" si="0"/>
        <v>0.90000000000000024</v>
      </c>
    </row>
    <row r="6" spans="8:13" x14ac:dyDescent="0.25">
      <c r="H6">
        <v>1.2</v>
      </c>
      <c r="I6">
        <f t="shared" si="0"/>
        <v>0.625</v>
      </c>
    </row>
    <row r="7" spans="8:13" x14ac:dyDescent="0.25">
      <c r="H7">
        <v>1.25</v>
      </c>
      <c r="I7">
        <f t="shared" si="0"/>
        <v>0.3999999999999998</v>
      </c>
    </row>
    <row r="8" spans="8:13" x14ac:dyDescent="0.25">
      <c r="H8">
        <v>1.3</v>
      </c>
      <c r="I8">
        <f t="shared" si="0"/>
        <v>0.22499999999999976</v>
      </c>
    </row>
    <row r="9" spans="8:13" x14ac:dyDescent="0.25">
      <c r="H9">
        <v>1.35</v>
      </c>
      <c r="I9">
        <f t="shared" si="0"/>
        <v>9.9999999999999742E-2</v>
      </c>
    </row>
    <row r="10" spans="8:13" x14ac:dyDescent="0.25">
      <c r="H10">
        <v>1.4</v>
      </c>
      <c r="I10">
        <f t="shared" si="0"/>
        <v>2.5000000000000043E-2</v>
      </c>
    </row>
    <row r="11" spans="8:13" x14ac:dyDescent="0.25">
      <c r="H11">
        <v>1.45</v>
      </c>
      <c r="I11">
        <f t="shared" si="0"/>
        <v>0</v>
      </c>
    </row>
    <row r="12" spans="8:13" x14ac:dyDescent="0.25">
      <c r="H12">
        <v>1.5</v>
      </c>
      <c r="I12">
        <f t="shared" si="0"/>
        <v>2.5000000000000043E-2</v>
      </c>
    </row>
    <row r="13" spans="8:13" x14ac:dyDescent="0.25">
      <c r="H13">
        <v>1.55</v>
      </c>
      <c r="I13">
        <f t="shared" si="0"/>
        <v>0.10000000000000017</v>
      </c>
    </row>
    <row r="14" spans="8:13" x14ac:dyDescent="0.25">
      <c r="H14">
        <v>1.6</v>
      </c>
      <c r="I14">
        <f t="shared" si="0"/>
        <v>0.22500000000000042</v>
      </c>
    </row>
    <row r="15" spans="8:13" x14ac:dyDescent="0.25">
      <c r="H15">
        <v>1.65</v>
      </c>
      <c r="I15">
        <f t="shared" si="0"/>
        <v>0.3999999999999998</v>
      </c>
    </row>
    <row r="16" spans="8:13" x14ac:dyDescent="0.25">
      <c r="H16">
        <v>1.7</v>
      </c>
      <c r="I16">
        <f t="shared" si="0"/>
        <v>0.625</v>
      </c>
    </row>
    <row r="17" spans="6:14" x14ac:dyDescent="0.25">
      <c r="H17">
        <v>1.75</v>
      </c>
      <c r="I17">
        <f t="shared" si="0"/>
        <v>0.90000000000000024</v>
      </c>
    </row>
    <row r="18" spans="6:14" x14ac:dyDescent="0.25">
      <c r="H18">
        <v>1.8</v>
      </c>
      <c r="I18">
        <f t="shared" si="0"/>
        <v>1.2250000000000008</v>
      </c>
    </row>
    <row r="19" spans="6:14" x14ac:dyDescent="0.25">
      <c r="H19">
        <v>1.85</v>
      </c>
      <c r="I19">
        <f t="shared" si="0"/>
        <v>1.6000000000000012</v>
      </c>
    </row>
    <row r="20" spans="6:14" x14ac:dyDescent="0.25">
      <c r="H20">
        <v>1.9</v>
      </c>
      <c r="I20">
        <f t="shared" si="0"/>
        <v>2.0249999999999995</v>
      </c>
    </row>
    <row r="21" spans="6:14" x14ac:dyDescent="0.25">
      <c r="H21">
        <v>1.95</v>
      </c>
      <c r="I21">
        <f t="shared" si="0"/>
        <v>2.5</v>
      </c>
    </row>
    <row r="24" spans="6:14" x14ac:dyDescent="0.25">
      <c r="H24" t="s">
        <v>1</v>
      </c>
      <c r="M24" t="s">
        <v>2</v>
      </c>
      <c r="N24">
        <v>10</v>
      </c>
    </row>
    <row r="25" spans="6:14" x14ac:dyDescent="0.25">
      <c r="F25">
        <v>0</v>
      </c>
      <c r="G25">
        <f t="shared" ref="G25:G32" si="1">$N$24*(COS($N$25*F25+$N$26)+1)</f>
        <v>15.403023058681399</v>
      </c>
      <c r="H25">
        <v>20</v>
      </c>
      <c r="I25">
        <f>$N$24*(COS($N$25*H25+$N$26)+1)</f>
        <v>5.8385316345285769</v>
      </c>
      <c r="M25" t="s">
        <v>3</v>
      </c>
      <c r="N25">
        <v>0.05</v>
      </c>
    </row>
    <row r="26" spans="6:14" x14ac:dyDescent="0.25">
      <c r="F26">
        <v>5</v>
      </c>
      <c r="G26">
        <f t="shared" si="1"/>
        <v>13.153223623952686</v>
      </c>
      <c r="H26">
        <v>40</v>
      </c>
      <c r="I26">
        <f t="shared" ref="I26:I41" si="2">$N$24*(COS($N$25*H26+$N$26)+1)</f>
        <v>0.10007503399554585</v>
      </c>
      <c r="M26" t="s">
        <v>4</v>
      </c>
      <c r="N26">
        <v>1</v>
      </c>
    </row>
    <row r="27" spans="6:14" x14ac:dyDescent="0.25">
      <c r="F27">
        <v>10</v>
      </c>
      <c r="G27">
        <f t="shared" si="1"/>
        <v>10.707372016677027</v>
      </c>
      <c r="H27">
        <v>60</v>
      </c>
      <c r="I27">
        <f t="shared" si="2"/>
        <v>3.4635637913638808</v>
      </c>
    </row>
    <row r="28" spans="6:14" x14ac:dyDescent="0.25">
      <c r="F28">
        <v>15</v>
      </c>
      <c r="G28">
        <f t="shared" si="1"/>
        <v>8.2175394435050801</v>
      </c>
      <c r="H28">
        <v>80</v>
      </c>
      <c r="I28">
        <f t="shared" si="2"/>
        <v>12.836621854632263</v>
      </c>
    </row>
    <row r="29" spans="6:14" x14ac:dyDescent="0.25">
      <c r="F29">
        <v>20</v>
      </c>
      <c r="G29">
        <f t="shared" si="1"/>
        <v>5.8385316345285769</v>
      </c>
      <c r="H29">
        <v>100</v>
      </c>
      <c r="I29">
        <f t="shared" si="2"/>
        <v>19.601702866503658</v>
      </c>
    </row>
    <row r="30" spans="6:14" x14ac:dyDescent="0.25">
      <c r="F30">
        <v>25</v>
      </c>
      <c r="G30">
        <f t="shared" si="1"/>
        <v>3.7182637727726089</v>
      </c>
      <c r="H30">
        <v>120</v>
      </c>
      <c r="I30">
        <f t="shared" si="2"/>
        <v>17.539022543433049</v>
      </c>
    </row>
    <row r="31" spans="6:14" x14ac:dyDescent="0.25">
      <c r="F31">
        <v>30</v>
      </c>
      <c r="G31">
        <f t="shared" si="1"/>
        <v>1.988563844530663</v>
      </c>
      <c r="H31">
        <v>140</v>
      </c>
      <c r="I31">
        <f t="shared" si="2"/>
        <v>8.5449996619138648</v>
      </c>
    </row>
    <row r="32" spans="6:14" x14ac:dyDescent="0.25">
      <c r="F32">
        <v>35</v>
      </c>
      <c r="G32">
        <f t="shared" si="1"/>
        <v>0.75697621367536438</v>
      </c>
      <c r="H32">
        <v>160</v>
      </c>
      <c r="I32">
        <f t="shared" si="2"/>
        <v>0.8886973811532306</v>
      </c>
    </row>
    <row r="33" spans="6:9" x14ac:dyDescent="0.25">
      <c r="F33">
        <v>40</v>
      </c>
      <c r="G33">
        <f t="shared" ref="G33:G89" si="3">$N$24*(COS($N$25*F33+$N$26)+1)</f>
        <v>0.10007503399554585</v>
      </c>
      <c r="H33">
        <v>180</v>
      </c>
      <c r="I33">
        <f t="shared" si="2"/>
        <v>1.6092847092354756</v>
      </c>
    </row>
    <row r="34" spans="6:9" x14ac:dyDescent="0.25">
      <c r="F34">
        <v>45</v>
      </c>
      <c r="G34">
        <f t="shared" si="3"/>
        <v>5.870323919453746E-2</v>
      </c>
      <c r="H34">
        <v>200</v>
      </c>
      <c r="I34">
        <f t="shared" si="2"/>
        <v>10.044256979880508</v>
      </c>
    </row>
    <row r="35" spans="6:9" x14ac:dyDescent="0.25">
      <c r="F35">
        <v>50</v>
      </c>
      <c r="G35">
        <f t="shared" si="3"/>
        <v>0.63543312709203659</v>
      </c>
      <c r="H35">
        <v>220</v>
      </c>
      <c r="I35">
        <f t="shared" si="2"/>
        <v>18.438539587324922</v>
      </c>
    </row>
    <row r="36" spans="6:9" x14ac:dyDescent="0.25">
      <c r="F36">
        <v>55</v>
      </c>
      <c r="G36">
        <f t="shared" si="3"/>
        <v>1.7944064266043924</v>
      </c>
      <c r="H36">
        <v>240</v>
      </c>
      <c r="I36">
        <f t="shared" si="2"/>
        <v>19.074467814501965</v>
      </c>
    </row>
    <row r="37" spans="6:9" x14ac:dyDescent="0.25">
      <c r="F37">
        <v>60</v>
      </c>
      <c r="G37">
        <f t="shared" si="3"/>
        <v>3.4635637913638808</v>
      </c>
      <c r="H37">
        <v>260</v>
      </c>
      <c r="I37">
        <f t="shared" si="2"/>
        <v>11.367372182078338</v>
      </c>
    </row>
    <row r="38" spans="6:9" x14ac:dyDescent="0.25">
      <c r="F38">
        <v>65</v>
      </c>
      <c r="G38">
        <f t="shared" si="3"/>
        <v>5.5391251008620728</v>
      </c>
      <c r="H38">
        <v>280</v>
      </c>
      <c r="I38">
        <f t="shared" si="2"/>
        <v>2.4031208714117867</v>
      </c>
    </row>
    <row r="39" spans="6:9" x14ac:dyDescent="0.25">
      <c r="F39">
        <v>70</v>
      </c>
      <c r="G39">
        <f t="shared" si="3"/>
        <v>7.892042005692204</v>
      </c>
      <c r="H39">
        <v>300</v>
      </c>
      <c r="I39">
        <f t="shared" si="2"/>
        <v>0.4234051967661534</v>
      </c>
    </row>
    <row r="40" spans="6:9" x14ac:dyDescent="0.25">
      <c r="F40">
        <v>75</v>
      </c>
      <c r="G40">
        <f t="shared" si="3"/>
        <v>10.376021528879766</v>
      </c>
      <c r="H40">
        <v>320</v>
      </c>
      <c r="I40">
        <f t="shared" si="2"/>
        <v>7.2483666194840302</v>
      </c>
    </row>
    <row r="41" spans="6:9" x14ac:dyDescent="0.25">
      <c r="F41">
        <v>80</v>
      </c>
      <c r="G41">
        <f t="shared" si="3"/>
        <v>12.836621854632263</v>
      </c>
      <c r="H41">
        <v>340</v>
      </c>
      <c r="I41">
        <f t="shared" si="2"/>
        <v>16.603167082440802</v>
      </c>
    </row>
    <row r="42" spans="6:9" x14ac:dyDescent="0.25">
      <c r="F42">
        <v>85</v>
      </c>
      <c r="G42">
        <f t="shared" si="3"/>
        <v>15.120854772418406</v>
      </c>
    </row>
    <row r="43" spans="6:9" x14ac:dyDescent="0.25">
      <c r="F43">
        <v>90</v>
      </c>
      <c r="G43">
        <f t="shared" si="3"/>
        <v>17.086697742912598</v>
      </c>
    </row>
    <row r="44" spans="6:9" x14ac:dyDescent="0.25">
      <c r="F44">
        <v>95</v>
      </c>
      <c r="G44">
        <f t="shared" si="3"/>
        <v>18.611924171615208</v>
      </c>
    </row>
    <row r="45" spans="6:9" x14ac:dyDescent="0.25">
      <c r="F45">
        <v>100</v>
      </c>
      <c r="G45">
        <f t="shared" si="3"/>
        <v>19.601702866503658</v>
      </c>
    </row>
    <row r="46" spans="6:9" x14ac:dyDescent="0.25">
      <c r="F46">
        <v>105</v>
      </c>
      <c r="G46">
        <f t="shared" si="3"/>
        <v>19.994494182244992</v>
      </c>
    </row>
    <row r="47" spans="6:9" x14ac:dyDescent="0.25">
      <c r="F47">
        <v>110</v>
      </c>
      <c r="G47">
        <f t="shared" si="3"/>
        <v>19.765876257280233</v>
      </c>
    </row>
    <row r="48" spans="6:9" x14ac:dyDescent="0.25">
      <c r="F48">
        <v>115</v>
      </c>
      <c r="G48">
        <f t="shared" si="3"/>
        <v>18.930063446890767</v>
      </c>
    </row>
    <row r="49" spans="6:20" x14ac:dyDescent="0.25">
      <c r="F49">
        <v>120</v>
      </c>
      <c r="G49">
        <f t="shared" si="3"/>
        <v>17.539022543433049</v>
      </c>
    </row>
    <row r="50" spans="6:20" x14ac:dyDescent="0.25">
      <c r="F50">
        <v>125</v>
      </c>
      <c r="G50">
        <f t="shared" si="3"/>
        <v>15.679241732886949</v>
      </c>
    </row>
    <row r="51" spans="6:20" x14ac:dyDescent="0.25">
      <c r="F51">
        <v>130</v>
      </c>
      <c r="G51">
        <f t="shared" si="3"/>
        <v>13.466353178350259</v>
      </c>
    </row>
    <row r="52" spans="6:20" x14ac:dyDescent="0.25">
      <c r="F52">
        <v>135</v>
      </c>
      <c r="G52">
        <f t="shared" si="3"/>
        <v>11.03794357219253</v>
      </c>
    </row>
    <row r="53" spans="6:20" x14ac:dyDescent="0.25">
      <c r="F53">
        <v>140</v>
      </c>
      <c r="G53">
        <f t="shared" si="3"/>
        <v>8.5449996619138648</v>
      </c>
    </row>
    <row r="54" spans="6:20" x14ac:dyDescent="0.25">
      <c r="F54">
        <v>145</v>
      </c>
      <c r="G54">
        <f t="shared" si="3"/>
        <v>6.1425206254777818</v>
      </c>
    </row>
    <row r="55" spans="6:20" x14ac:dyDescent="0.25">
      <c r="F55">
        <v>150</v>
      </c>
      <c r="G55">
        <f t="shared" si="3"/>
        <v>3.9798809731517637</v>
      </c>
    </row>
    <row r="56" spans="6:20" x14ac:dyDescent="0.25">
      <c r="F56">
        <v>155</v>
      </c>
      <c r="G56">
        <f t="shared" si="3"/>
        <v>2.1915431639425087</v>
      </c>
    </row>
    <row r="57" spans="6:20" x14ac:dyDescent="0.25">
      <c r="F57">
        <v>160</v>
      </c>
      <c r="G57">
        <f t="shared" si="3"/>
        <v>0.8886973811532306</v>
      </c>
    </row>
    <row r="58" spans="6:20" x14ac:dyDescent="0.25">
      <c r="F58">
        <v>165</v>
      </c>
      <c r="G58">
        <f t="shared" si="3"/>
        <v>0.15234826532676382</v>
      </c>
    </row>
    <row r="59" spans="6:20" x14ac:dyDescent="0.25">
      <c r="F59">
        <v>170</v>
      </c>
      <c r="G59">
        <f t="shared" si="3"/>
        <v>2.8278438036215547E-2</v>
      </c>
    </row>
    <row r="60" spans="6:20" x14ac:dyDescent="0.25">
      <c r="F60">
        <v>175</v>
      </c>
      <c r="G60">
        <f t="shared" si="3"/>
        <v>0.5242019602200676</v>
      </c>
    </row>
    <row r="61" spans="6:20" x14ac:dyDescent="0.25">
      <c r="F61">
        <v>180</v>
      </c>
      <c r="G61">
        <f t="shared" si="3"/>
        <v>1.6092847092354756</v>
      </c>
      <c r="M61" t="s">
        <v>6</v>
      </c>
      <c r="N61">
        <v>1</v>
      </c>
    </row>
    <row r="62" spans="6:20" x14ac:dyDescent="0.25">
      <c r="F62">
        <v>185</v>
      </c>
      <c r="G62">
        <f t="shared" si="3"/>
        <v>3.2160614952615472</v>
      </c>
      <c r="M62" t="s">
        <v>7</v>
      </c>
      <c r="N62">
        <v>-1</v>
      </c>
      <c r="P62" t="s">
        <v>9</v>
      </c>
      <c r="Q62">
        <v>1</v>
      </c>
      <c r="S62" t="s">
        <v>12</v>
      </c>
      <c r="T62">
        <v>1</v>
      </c>
    </row>
    <row r="63" spans="6:20" x14ac:dyDescent="0.25">
      <c r="F63">
        <v>190</v>
      </c>
      <c r="G63">
        <f t="shared" si="3"/>
        <v>5.2446307200400755</v>
      </c>
      <c r="P63" t="s">
        <v>11</v>
      </c>
      <c r="Q63">
        <v>1</v>
      </c>
    </row>
    <row r="64" spans="6:20" x14ac:dyDescent="0.25">
      <c r="F64">
        <v>195</v>
      </c>
      <c r="G64">
        <f t="shared" si="3"/>
        <v>7.5688657743897005</v>
      </c>
    </row>
    <row r="65" spans="6:15" x14ac:dyDescent="0.25">
      <c r="F65">
        <v>200</v>
      </c>
      <c r="G65">
        <f t="shared" si="3"/>
        <v>10.044256979880508</v>
      </c>
      <c r="M65" t="s">
        <v>5</v>
      </c>
      <c r="O65" t="s">
        <v>10</v>
      </c>
    </row>
    <row r="66" spans="6:15" x14ac:dyDescent="0.25">
      <c r="F66">
        <v>205</v>
      </c>
      <c r="G66">
        <f t="shared" si="3"/>
        <v>12.516896500717545</v>
      </c>
      <c r="M66" t="s">
        <v>8</v>
      </c>
    </row>
    <row r="67" spans="6:15" x14ac:dyDescent="0.25">
      <c r="F67">
        <v>210</v>
      </c>
      <c r="G67">
        <f t="shared" si="3"/>
        <v>14.833047587530059</v>
      </c>
      <c r="M67">
        <v>0</v>
      </c>
      <c r="N67" t="e">
        <f t="shared" ref="N67:N76" si="4">($N$61*$N$62)/(4*3.141572*M67*$Q$62)</f>
        <v>#DIV/0!</v>
      </c>
      <c r="O67" t="e">
        <f>4*$Q$63*((($T$62/M67)^6)-(($T$62/M67)^12))</f>
        <v>#DIV/0!</v>
      </c>
    </row>
    <row r="68" spans="6:15" x14ac:dyDescent="0.25">
      <c r="F68">
        <v>215</v>
      </c>
      <c r="G68">
        <f t="shared" si="3"/>
        <v>16.848703183835532</v>
      </c>
      <c r="M68">
        <v>0.1</v>
      </c>
      <c r="N68">
        <f t="shared" si="4"/>
        <v>-0.79577994710928157</v>
      </c>
    </row>
    <row r="69" spans="6:15" x14ac:dyDescent="0.25">
      <c r="F69">
        <v>220</v>
      </c>
      <c r="G69">
        <f t="shared" si="3"/>
        <v>18.438539587324922</v>
      </c>
      <c r="M69">
        <v>0.2</v>
      </c>
      <c r="N69">
        <f t="shared" si="4"/>
        <v>-0.39788997355464079</v>
      </c>
    </row>
    <row r="70" spans="6:15" x14ac:dyDescent="0.25">
      <c r="F70">
        <v>225</v>
      </c>
      <c r="G70">
        <f t="shared" si="3"/>
        <v>19.503708470676735</v>
      </c>
      <c r="M70">
        <v>0.3</v>
      </c>
      <c r="N70">
        <f t="shared" si="4"/>
        <v>-0.26525998236976056</v>
      </c>
    </row>
    <row r="71" spans="6:15" x14ac:dyDescent="0.25">
      <c r="F71">
        <v>230</v>
      </c>
      <c r="G71">
        <f t="shared" si="3"/>
        <v>19.977982791785806</v>
      </c>
      <c r="M71">
        <v>0.4</v>
      </c>
      <c r="N71">
        <f t="shared" si="4"/>
        <v>-0.19894498677732039</v>
      </c>
    </row>
    <row r="72" spans="6:15" x14ac:dyDescent="0.25">
      <c r="F72">
        <v>235</v>
      </c>
      <c r="G72">
        <f t="shared" si="3"/>
        <v>19.831874470475917</v>
      </c>
      <c r="M72">
        <v>0.5</v>
      </c>
      <c r="N72">
        <f t="shared" si="4"/>
        <v>-0.15915598942185633</v>
      </c>
    </row>
    <row r="73" spans="6:15" x14ac:dyDescent="0.25">
      <c r="F73">
        <v>240</v>
      </c>
      <c r="G73">
        <f t="shared" si="3"/>
        <v>19.074467814501965</v>
      </c>
      <c r="M73">
        <v>0.6</v>
      </c>
      <c r="N73">
        <f t="shared" si="4"/>
        <v>-0.13262999118488028</v>
      </c>
    </row>
    <row r="74" spans="6:15" x14ac:dyDescent="0.25">
      <c r="F74">
        <v>245</v>
      </c>
      <c r="G74">
        <f t="shared" si="3"/>
        <v>17.752854701292879</v>
      </c>
      <c r="M74">
        <v>0.7</v>
      </c>
      <c r="N74">
        <f t="shared" si="4"/>
        <v>-0.11368284958704024</v>
      </c>
    </row>
    <row r="75" spans="6:15" x14ac:dyDescent="0.25">
      <c r="F75">
        <v>250</v>
      </c>
      <c r="G75">
        <f t="shared" si="3"/>
        <v>15.949206633098921</v>
      </c>
      <c r="M75">
        <v>0.8</v>
      </c>
      <c r="N75">
        <f t="shared" si="4"/>
        <v>-9.9472493388660196E-2</v>
      </c>
    </row>
    <row r="76" spans="6:15" x14ac:dyDescent="0.25">
      <c r="F76">
        <v>255</v>
      </c>
      <c r="G76">
        <f t="shared" si="3"/>
        <v>13.775665710972934</v>
      </c>
      <c r="M76">
        <v>0.9</v>
      </c>
      <c r="N76">
        <f t="shared" si="4"/>
        <v>-8.8419994123253506E-2</v>
      </c>
      <c r="O76">
        <f>$Q$63*(($T$62/M76)^12-($T$62/M76)^6)</f>
        <v>1.6590297383132309</v>
      </c>
    </row>
    <row r="77" spans="6:15" x14ac:dyDescent="0.25">
      <c r="F77">
        <v>260</v>
      </c>
      <c r="G77">
        <f t="shared" si="3"/>
        <v>11.367372182078338</v>
      </c>
      <c r="M77">
        <v>1</v>
      </c>
      <c r="N77">
        <f>($N$61*$N$62)/(4*3.141572*M77*$Q$62)</f>
        <v>-7.9577994710928163E-2</v>
      </c>
      <c r="O77">
        <f>$Q$63*(($T$62/M77)^12-($T$62/M77)^6)</f>
        <v>0</v>
      </c>
    </row>
    <row r="78" spans="6:15" x14ac:dyDescent="0.25">
      <c r="F78">
        <v>265</v>
      </c>
      <c r="G78">
        <f t="shared" si="3"/>
        <v>8.8740620736616442</v>
      </c>
      <c r="M78">
        <v>1.1000000000000001</v>
      </c>
      <c r="N78">
        <f>($N$61*$N$62)/(4*3.141572*M78*$Q$62)</f>
        <v>-7.2343631555389226E-2</v>
      </c>
      <c r="O78">
        <f>$Q$63*(($T$62/M78)^12-($T$62/M78)^6)</f>
        <v>-0.2458431123434206</v>
      </c>
    </row>
    <row r="79" spans="6:15" x14ac:dyDescent="0.25">
      <c r="F79">
        <v>270</v>
      </c>
      <c r="G79">
        <f t="shared" si="3"/>
        <v>6.4507573321129508</v>
      </c>
      <c r="M79">
        <v>1.2</v>
      </c>
      <c r="N79">
        <f t="shared" ref="N79:N127" si="5">($N$61*$N$62)/(4*3.141572*M79*$Q$62)</f>
        <v>-6.631499559244014E-2</v>
      </c>
      <c r="O79">
        <f>$Q$63*(($T$62/M79)^12-($T$62/M79)^6)</f>
        <v>-0.22274132189576906</v>
      </c>
    </row>
    <row r="80" spans="6:15" x14ac:dyDescent="0.25">
      <c r="F80">
        <v>275</v>
      </c>
      <c r="G80">
        <f t="shared" si="3"/>
        <v>4.248127309175973</v>
      </c>
      <c r="M80">
        <v>1.3</v>
      </c>
      <c r="N80">
        <f t="shared" si="5"/>
        <v>-6.1213842085329352E-2</v>
      </c>
      <c r="O80">
        <f>$Q$63*(($T$62/M80)^12-($T$62/M80)^6)</f>
        <v>-0.16425422861501177</v>
      </c>
    </row>
    <row r="81" spans="6:15" x14ac:dyDescent="0.25">
      <c r="F81">
        <v>280</v>
      </c>
      <c r="G81">
        <f t="shared" si="3"/>
        <v>2.4031208714117867</v>
      </c>
      <c r="M81">
        <v>1.4</v>
      </c>
      <c r="N81">
        <f t="shared" si="5"/>
        <v>-5.6841424793520119E-2</v>
      </c>
      <c r="O81">
        <f>$Q$63*(($T$62/M81)^12-($T$62/M81)^6)</f>
        <v>-0.1151717305515363</v>
      </c>
    </row>
    <row r="82" spans="6:15" x14ac:dyDescent="0.25">
      <c r="F82">
        <v>285</v>
      </c>
      <c r="G82">
        <f t="shared" si="3"/>
        <v>1.030451582977111</v>
      </c>
      <c r="M82">
        <v>1.5</v>
      </c>
      <c r="N82">
        <f t="shared" si="5"/>
        <v>-5.3051996473952104E-2</v>
      </c>
      <c r="O82">
        <f>$Q$63*(($T$62/M82)^12-($T$62/M82)^6)</f>
        <v>-8.0084148569643659E-2</v>
      </c>
    </row>
    <row r="83" spans="6:15" x14ac:dyDescent="0.25">
      <c r="F83">
        <v>290</v>
      </c>
      <c r="G83">
        <f t="shared" si="3"/>
        <v>0.21546537181115766</v>
      </c>
      <c r="M83">
        <v>1.6</v>
      </c>
      <c r="N83">
        <f t="shared" si="5"/>
        <v>-4.9736246694330098E-2</v>
      </c>
      <c r="O83">
        <f>$Q$63*(($T$62/M83)^12-($T$62/M83)^6)</f>
        <v>-5.6051931096590124E-2</v>
      </c>
    </row>
    <row r="84" spans="6:15" x14ac:dyDescent="0.25">
      <c r="F84">
        <v>295</v>
      </c>
      <c r="G84">
        <f t="shared" si="3"/>
        <v>8.8341332026597996E-3</v>
      </c>
      <c r="M84">
        <v>1.7</v>
      </c>
      <c r="N84">
        <f t="shared" si="5"/>
        <v>-4.6810585124075391E-2</v>
      </c>
      <c r="O84">
        <f>$Q$63*(($T$62/M84)^12-($T$62/M84)^6)</f>
        <v>-3.9712814790616287E-2</v>
      </c>
    </row>
    <row r="85" spans="6:15" x14ac:dyDescent="0.25">
      <c r="F85">
        <v>300</v>
      </c>
      <c r="G85">
        <f t="shared" si="3"/>
        <v>0.4234051967661534</v>
      </c>
      <c r="M85">
        <v>1.8</v>
      </c>
      <c r="N85">
        <f t="shared" si="5"/>
        <v>-4.4209997061626753E-2</v>
      </c>
      <c r="O85">
        <f>$Q$63*(($T$62/M85)^12-($T$62/M85)^6)</f>
        <v>-2.8536763896654983E-2</v>
      </c>
    </row>
    <row r="86" spans="6:15" x14ac:dyDescent="0.25">
      <c r="F86">
        <v>305</v>
      </c>
      <c r="G86">
        <f t="shared" si="3"/>
        <v>1.4334025417115759</v>
      </c>
      <c r="M86">
        <v>1.9</v>
      </c>
      <c r="N86">
        <f t="shared" si="5"/>
        <v>-4.1883155111014821E-2</v>
      </c>
      <c r="O86">
        <f>$Q$63*(($T$62/M86)^12-($T$62/M86)^6)</f>
        <v>-2.0804034980899874E-2</v>
      </c>
    </row>
    <row r="87" spans="6:15" x14ac:dyDescent="0.25">
      <c r="F87">
        <v>310</v>
      </c>
      <c r="G87">
        <f t="shared" si="3"/>
        <v>2.9760294249728645</v>
      </c>
      <c r="M87">
        <v>2</v>
      </c>
      <c r="N87">
        <f t="shared" si="5"/>
        <v>-3.9788997355464081E-2</v>
      </c>
      <c r="O87">
        <f>$Q$63*(($T$62/M87)^12-($T$62/M87)^6)</f>
        <v>-1.5380859375E-2</v>
      </c>
    </row>
    <row r="88" spans="6:15" x14ac:dyDescent="0.25">
      <c r="F88">
        <v>315</v>
      </c>
      <c r="G88">
        <f t="shared" si="3"/>
        <v>4.9553727785407196</v>
      </c>
      <c r="M88">
        <v>2.1</v>
      </c>
      <c r="N88">
        <f t="shared" si="5"/>
        <v>-3.789428319568007E-2</v>
      </c>
      <c r="O88">
        <f>$Q$63*(($T$62/M88)^12-($T$62/M88)^6)</f>
        <v>-1.1523668937150049E-2</v>
      </c>
    </row>
    <row r="89" spans="6:15" x14ac:dyDescent="0.25">
      <c r="F89">
        <v>320</v>
      </c>
      <c r="G89">
        <f t="shared" si="3"/>
        <v>7.2483666194840302</v>
      </c>
      <c r="M89">
        <v>2.2000000000000002</v>
      </c>
      <c r="N89">
        <f t="shared" si="5"/>
        <v>-3.6171815777694613E-2</v>
      </c>
      <c r="O89">
        <f>$Q$63*(($T$62/M89)^12-($T$62/M89)^6)</f>
        <v>-8.7421144301102014E-3</v>
      </c>
    </row>
    <row r="90" spans="6:15" x14ac:dyDescent="0.25">
      <c r="F90">
        <v>325</v>
      </c>
      <c r="G90">
        <f t="shared" ref="G90:G96" si="6">$N$24*(COS($N$25*F90+$N$26)+1)</f>
        <v>9.712443696708128</v>
      </c>
      <c r="M90">
        <v>2.2999999999999998</v>
      </c>
      <c r="N90">
        <f t="shared" si="5"/>
        <v>-3.4599128135186161E-2</v>
      </c>
      <c r="O90">
        <f>$Q$63*(($T$62/M90)^12-($T$62/M90)^6)</f>
        <v>-6.7094870576545279E-3</v>
      </c>
    </row>
    <row r="91" spans="6:15" x14ac:dyDescent="0.25">
      <c r="F91">
        <v>330</v>
      </c>
      <c r="G91">
        <f t="shared" si="6"/>
        <v>12.194399632114594</v>
      </c>
      <c r="M91">
        <v>2.4</v>
      </c>
      <c r="N91">
        <f t="shared" si="5"/>
        <v>-3.315749779622007E-2</v>
      </c>
      <c r="O91">
        <f>$Q$63*(($T$62/M91)^12-($T$62/M91)^6)</f>
        <v>-5.2053988898339782E-3</v>
      </c>
    </row>
    <row r="92" spans="6:15" x14ac:dyDescent="0.25">
      <c r="F92">
        <v>335</v>
      </c>
      <c r="G92">
        <f t="shared" si="6"/>
        <v>14.539918426798069</v>
      </c>
      <c r="M92">
        <v>2.5</v>
      </c>
      <c r="N92">
        <f t="shared" si="5"/>
        <v>-3.1831197884371262E-2</v>
      </c>
      <c r="O92">
        <f>$Q$63*(($T$62/M92)^12-($T$62/M92)^6)</f>
        <v>-4.0792227840000025E-3</v>
      </c>
    </row>
    <row r="93" spans="6:15" x14ac:dyDescent="0.25">
      <c r="F93">
        <v>340</v>
      </c>
      <c r="G93">
        <f t="shared" si="6"/>
        <v>16.603167082440802</v>
      </c>
      <c r="M93">
        <v>2.6</v>
      </c>
      <c r="N93">
        <f t="shared" si="5"/>
        <v>-3.0606921042664676E-2</v>
      </c>
      <c r="O93">
        <f>$Q$63*(($T$62/M93)^12-($T$62/M93)^6)</f>
        <v>-3.2266492977769084E-3</v>
      </c>
    </row>
    <row r="94" spans="6:15" x14ac:dyDescent="0.25">
      <c r="F94">
        <v>345</v>
      </c>
      <c r="G94">
        <f t="shared" si="6"/>
        <v>18.255862790817389</v>
      </c>
      <c r="M94">
        <v>2.7</v>
      </c>
      <c r="N94">
        <f t="shared" si="5"/>
        <v>-2.9473331374417835E-2</v>
      </c>
      <c r="O94">
        <f>$Q$63*(($T$62/M94)^12-($T$62/M94)^6)</f>
        <v>-2.5745123284078206E-3</v>
      </c>
    </row>
    <row r="95" spans="6:15" x14ac:dyDescent="0.25">
      <c r="F95">
        <v>350</v>
      </c>
      <c r="G95">
        <f t="shared" si="6"/>
        <v>19.39524893748256</v>
      </c>
      <c r="M95">
        <v>2.8</v>
      </c>
      <c r="N95">
        <f t="shared" si="5"/>
        <v>-2.842071239676006E-2</v>
      </c>
      <c r="O95">
        <f>$Q$63*(($T$62/M95)^12-($T$62/M95)^6)</f>
        <v>-2.0708547788661417E-3</v>
      </c>
    </row>
    <row r="96" spans="6:15" x14ac:dyDescent="0.25">
      <c r="F96">
        <v>355</v>
      </c>
      <c r="G96">
        <f t="shared" si="6"/>
        <v>19.950484010363787</v>
      </c>
      <c r="M96">
        <v>2.9</v>
      </c>
      <c r="N96">
        <f t="shared" si="5"/>
        <v>-2.7440687831354539E-2</v>
      </c>
      <c r="O96">
        <f>$Q$63*(($T$62/M96)^12-($T$62/M96)^6)</f>
        <v>-1.6783451375889859E-3</v>
      </c>
    </row>
    <row r="97" spans="13:15" x14ac:dyDescent="0.25">
      <c r="M97">
        <v>3</v>
      </c>
      <c r="N97">
        <f t="shared" si="5"/>
        <v>-2.6525998236976052E-2</v>
      </c>
      <c r="O97">
        <f>$Q$63*(($T$62/M97)^12-($T$62/M97)^6)</f>
        <v>-1.3698604360596943E-3</v>
      </c>
    </row>
    <row r="98" spans="13:15" x14ac:dyDescent="0.25">
      <c r="M98">
        <v>3.1</v>
      </c>
      <c r="N98">
        <f t="shared" si="5"/>
        <v>-2.5670320874492954E-2</v>
      </c>
      <c r="O98">
        <f>$Q$63*(($T$62/M98)^12-($T$62/M98)^6)</f>
        <v>-1.1254863112054616E-3</v>
      </c>
    </row>
    <row r="99" spans="13:15" x14ac:dyDescent="0.25">
      <c r="M99">
        <v>3.2</v>
      </c>
      <c r="N99">
        <f t="shared" si="5"/>
        <v>-2.4868123347165049E-2</v>
      </c>
      <c r="O99">
        <f>$Q$63*(($T$62/M99)^12-($T$62/M99)^6)</f>
        <v>-9.3045521287749011E-4</v>
      </c>
    </row>
    <row r="100" spans="13:15" x14ac:dyDescent="0.25">
      <c r="M100">
        <v>3.3</v>
      </c>
      <c r="N100">
        <f t="shared" si="5"/>
        <v>-2.4114543851796413E-2</v>
      </c>
      <c r="O100">
        <f>$Q$63*(($T$62/M100)^12-($T$62/M100)^6)</f>
        <v>-7.7371310115608978E-4</v>
      </c>
    </row>
    <row r="101" spans="13:15" x14ac:dyDescent="0.25">
      <c r="M101">
        <v>3.4</v>
      </c>
      <c r="N101">
        <f t="shared" si="5"/>
        <v>-2.3405292562037695E-2</v>
      </c>
      <c r="O101">
        <f>$Q$63*(($T$62/M101)^12-($T$62/M101)^6)</f>
        <v>-6.4691210001200977E-4</v>
      </c>
    </row>
    <row r="102" spans="13:15" x14ac:dyDescent="0.25">
      <c r="M102">
        <v>3.5</v>
      </c>
      <c r="N102">
        <f t="shared" si="5"/>
        <v>-2.2736569917408047E-2</v>
      </c>
      <c r="O102">
        <f>$Q$63*(($T$62/M102)^12-($T$62/M102)^6)</f>
        <v>-5.436950979137476E-4</v>
      </c>
    </row>
    <row r="103" spans="13:15" x14ac:dyDescent="0.25">
      <c r="M103">
        <v>3.6</v>
      </c>
      <c r="N103">
        <f t="shared" si="5"/>
        <v>-2.2104998530813377E-2</v>
      </c>
      <c r="O103">
        <f>$Q$63*(($T$62/M103)^12-($T$62/M103)^6)</f>
        <v>-4.5918261546477494E-4</v>
      </c>
    </row>
    <row r="104" spans="13:15" x14ac:dyDescent="0.25">
      <c r="M104">
        <v>3.7</v>
      </c>
      <c r="N104">
        <f t="shared" si="5"/>
        <v>-2.1507566138088689E-2</v>
      </c>
      <c r="O104">
        <f>$Q$63*(($T$62/M104)^12-($T$62/M104)^6)</f>
        <v>-3.8960126197558673E-4</v>
      </c>
    </row>
    <row r="105" spans="13:15" x14ac:dyDescent="0.25">
      <c r="M105">
        <v>3.8</v>
      </c>
      <c r="N105">
        <f t="shared" si="5"/>
        <v>-2.094157755550741E-2</v>
      </c>
      <c r="O105">
        <f>$Q$63*(($T$62/M105)^12-($T$62/M105)^6)</f>
        <v>-3.3201228784471656E-4</v>
      </c>
    </row>
    <row r="106" spans="13:15" x14ac:dyDescent="0.25">
      <c r="M106">
        <v>3.9</v>
      </c>
      <c r="N106">
        <f t="shared" si="5"/>
        <v>-2.0404614028443117E-2</v>
      </c>
      <c r="O106">
        <f>$Q$63*(($T$62/M106)^12-($T$62/M106)^6)</f>
        <v>-2.8411156809625442E-4</v>
      </c>
    </row>
    <row r="107" spans="13:15" x14ac:dyDescent="0.25">
      <c r="M107">
        <v>4</v>
      </c>
      <c r="N107">
        <f t="shared" si="5"/>
        <v>-1.9894498677732041E-2</v>
      </c>
      <c r="O107">
        <f>$Q$63*(($T$62/M107)^12-($T$62/M107)^6)</f>
        <v>-2.4408102035522461E-4</v>
      </c>
    </row>
    <row r="108" spans="13:15" x14ac:dyDescent="0.25">
      <c r="M108">
        <v>4.0999999999999996</v>
      </c>
      <c r="N108">
        <f t="shared" si="5"/>
        <v>-1.9409267002665407E-2</v>
      </c>
      <c r="O108">
        <f>$Q$63*(($T$62/M108)^12-($T$62/M108)^6)</f>
        <v>-2.1047737640674007E-4</v>
      </c>
    </row>
    <row r="109" spans="13:15" x14ac:dyDescent="0.25">
      <c r="M109">
        <v>4.2</v>
      </c>
      <c r="N109">
        <f t="shared" si="5"/>
        <v>-1.8947141597840035E-2</v>
      </c>
      <c r="O109">
        <f>$Q$63*(($T$62/M109)^12-($T$62/M109)^6)</f>
        <v>-1.8214830322298102E-4</v>
      </c>
    </row>
    <row r="110" spans="13:15" x14ac:dyDescent="0.25">
      <c r="M110">
        <v>4.3</v>
      </c>
      <c r="N110">
        <f t="shared" si="5"/>
        <v>-1.850651039789027E-2</v>
      </c>
      <c r="O110">
        <f>$Q$63*(($T$62/M110)^12-($T$62/M110)^6)</f>
        <v>-1.5816870483780778E-4</v>
      </c>
    </row>
    <row r="111" spans="13:15" x14ac:dyDescent="0.25">
      <c r="M111">
        <v>4.4000000000000004</v>
      </c>
      <c r="N111">
        <f t="shared" si="5"/>
        <v>-1.8085907888847307E-2</v>
      </c>
      <c r="O111">
        <f>$Q$63*(($T$62/M111)^12-($T$62/M111)^6)</f>
        <v>-1.3779202620283133E-4</v>
      </c>
    </row>
    <row r="112" spans="13:15" x14ac:dyDescent="0.25">
      <c r="M112">
        <v>4.5</v>
      </c>
      <c r="N112">
        <f t="shared" si="5"/>
        <v>-1.7683998824650701E-2</v>
      </c>
      <c r="O112">
        <f>$Q$63*(($T$62/M112)^12-($T$62/M112)^6)</f>
        <v>-1.2041278834973351E-4</v>
      </c>
    </row>
    <row r="113" spans="13:15" x14ac:dyDescent="0.25">
      <c r="M113">
        <v>4.5999999999999996</v>
      </c>
      <c r="N113">
        <f t="shared" si="5"/>
        <v>-1.729956406759308E-2</v>
      </c>
      <c r="O113">
        <f>$Q$63*(($T$62/M113)^12-($T$62/M113)^6)</f>
        <v>-1.0553758893630198E-4</v>
      </c>
    </row>
    <row r="114" spans="13:15" x14ac:dyDescent="0.25">
      <c r="M114">
        <v>4.7</v>
      </c>
      <c r="N114">
        <f t="shared" si="5"/>
        <v>-1.6931488236367694E-2</v>
      </c>
      <c r="O114">
        <f>$Q$63*(($T$62/M114)^12-($T$62/M114)^6)</f>
        <v>-9.2762524761764631E-5</v>
      </c>
    </row>
    <row r="115" spans="13:15" x14ac:dyDescent="0.25">
      <c r="M115">
        <v>4.8</v>
      </c>
      <c r="N115">
        <f t="shared" si="5"/>
        <v>-1.6578748898110035E-2</v>
      </c>
      <c r="O115">
        <f>$Q$63*(($T$62/M115)^12-($T$62/M115)^6)</f>
        <v>-8.1755516280416793E-5</v>
      </c>
    </row>
    <row r="116" spans="13:15" x14ac:dyDescent="0.25">
      <c r="M116">
        <v>4.9000000000000004</v>
      </c>
      <c r="N116">
        <f t="shared" si="5"/>
        <v>-1.6240407083862887E-2</v>
      </c>
      <c r="O116">
        <f>$Q$63*(($T$62/M116)^12-($T$62/M116)^6)</f>
        <v>-7.2242396091018752E-5</v>
      </c>
    </row>
    <row r="117" spans="13:15" x14ac:dyDescent="0.25">
      <c r="M117">
        <v>5</v>
      </c>
      <c r="N117">
        <f t="shared" si="5"/>
        <v>-1.5915598942185631E-2</v>
      </c>
      <c r="O117">
        <f>$Q$63*(($T$62/M117)^12-($T$62/M117)^6)</f>
        <v>-6.3995904000000033E-5</v>
      </c>
    </row>
    <row r="118" spans="13:15" x14ac:dyDescent="0.25">
      <c r="M118">
        <v>5.0999999999999996</v>
      </c>
      <c r="N118">
        <f t="shared" si="5"/>
        <v>-1.5603528374691795E-2</v>
      </c>
      <c r="O118">
        <f>$Q$63*(($T$62/M118)^12-($T$62/M118)^6)</f>
        <v>-5.6826938791869161E-5</v>
      </c>
    </row>
    <row r="119" spans="13:15" x14ac:dyDescent="0.25">
      <c r="M119">
        <v>5.2</v>
      </c>
      <c r="N119">
        <f t="shared" si="5"/>
        <v>-1.5303460521332338E-2</v>
      </c>
      <c r="O119">
        <f>$Q$63*(($T$62/M119)^12-($T$62/M119)^6)</f>
        <v>-5.0577571297214235E-5</v>
      </c>
    </row>
    <row r="120" spans="13:15" x14ac:dyDescent="0.25">
      <c r="M120">
        <v>5.3</v>
      </c>
      <c r="N120">
        <f t="shared" si="5"/>
        <v>-1.5014715983193991E-2</v>
      </c>
      <c r="O120">
        <f>$Q$63*(($T$62/M120)^12-($T$62/M120)^6)</f>
        <v>-4.5115439001626098E-5</v>
      </c>
    </row>
    <row r="121" spans="13:15" x14ac:dyDescent="0.25">
      <c r="M121">
        <v>5.4</v>
      </c>
      <c r="N121">
        <f t="shared" si="5"/>
        <v>-1.4736665687208918E-2</v>
      </c>
      <c r="O121">
        <f>$Q$63*(($T$62/M121)^12-($T$62/M121)^6)</f>
        <v>-4.0329229542563274E-5</v>
      </c>
    </row>
    <row r="122" spans="13:15" x14ac:dyDescent="0.25">
      <c r="M122">
        <v>5.5</v>
      </c>
      <c r="N122">
        <f t="shared" si="5"/>
        <v>-1.4468726311077845E-2</v>
      </c>
      <c r="O122">
        <f>$Q$63*(($T$62/M122)^12-($T$62/M122)^6)</f>
        <v>-3.6125026411612423E-5</v>
      </c>
    </row>
    <row r="123" spans="13:15" x14ac:dyDescent="0.25">
      <c r="M123">
        <v>5.6</v>
      </c>
      <c r="N123">
        <f t="shared" si="5"/>
        <v>-1.421035619838003E-2</v>
      </c>
      <c r="O123">
        <f>$Q$63*(($T$62/M123)^12-($T$62/M123)^6)</f>
        <v>-3.2423340414167833E-5</v>
      </c>
    </row>
    <row r="124" spans="13:15" x14ac:dyDescent="0.25">
      <c r="M124">
        <v>5.7</v>
      </c>
      <c r="N124">
        <f t="shared" si="5"/>
        <v>-1.3961051703671607E-2</v>
      </c>
      <c r="O124">
        <f>$Q$63*(($T$62/M124)^12-($T$62/M124)^6)</f>
        <v>-2.9156688889695556E-5</v>
      </c>
    </row>
    <row r="125" spans="13:15" x14ac:dyDescent="0.25">
      <c r="M125">
        <v>5.8</v>
      </c>
      <c r="N125">
        <f t="shared" si="5"/>
        <v>-1.372034391567727E-2</v>
      </c>
      <c r="O125">
        <f>$Q$63*(($T$62/M125)^12-($T$62/M125)^6)</f>
        <v>-2.6267614274903886E-5</v>
      </c>
    </row>
    <row r="126" spans="13:15" x14ac:dyDescent="0.25">
      <c r="M126">
        <v>5.9</v>
      </c>
      <c r="N126">
        <f t="shared" si="5"/>
        <v>-1.3487795713716636E-2</v>
      </c>
      <c r="O126">
        <f>$Q$63*(($T$62/M126)^12-($T$62/M126)^6)</f>
        <v>-2.3707056456239405E-5</v>
      </c>
    </row>
    <row r="127" spans="13:15" x14ac:dyDescent="0.25">
      <c r="M127">
        <v>6</v>
      </c>
      <c r="N127">
        <f t="shared" si="5"/>
        <v>-1.3262999118488026E-2</v>
      </c>
      <c r="O127">
        <f>$Q$63*(($T$62/M127)^12-($T$62/M127)^6)</f>
        <v>-2.1433011113886581E-5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ChrisAndLucy</dc:creator>
  <cp:lastModifiedBy>ChrisAndLucy</cp:lastModifiedBy>
  <dcterms:created xsi:type="dcterms:W3CDTF">2014-03-13T09:46:16Z</dcterms:created>
  <dcterms:modified xsi:type="dcterms:W3CDTF">2014-03-17T11:50:23Z</dcterms:modified>
</cp:coreProperties>
</file>