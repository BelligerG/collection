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C75" i="1" l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X59" i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X21" i="1"/>
  <c r="X20" i="1"/>
  <c r="X19" i="1" s="1"/>
  <c r="X18" i="1" s="1"/>
  <c r="X17" i="1" s="1"/>
  <c r="X16" i="1" s="1"/>
  <c r="X15" i="1" s="1"/>
  <c r="X14" i="1" s="1"/>
  <c r="X13" i="1" s="1"/>
  <c r="X12" i="1" s="1"/>
  <c r="X11" i="1" s="1"/>
  <c r="X10" i="1" s="1"/>
  <c r="X9" i="1" s="1"/>
  <c r="X8" i="1" s="1"/>
  <c r="X7" i="1" s="1"/>
  <c r="X6" i="1" s="1"/>
  <c r="X5" i="1" s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X41" i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39" i="1"/>
  <c r="X38" i="1"/>
  <c r="X37" i="1"/>
  <c r="X36" i="1"/>
  <c r="X35" i="1" s="1"/>
  <c r="X34" i="1" s="1"/>
  <c r="X33" i="1" s="1"/>
  <c r="X32" i="1" s="1"/>
  <c r="X31" i="1" s="1"/>
  <c r="X30" i="1" s="1"/>
  <c r="X29" i="1" s="1"/>
  <c r="X28" i="1" s="1"/>
  <c r="X27" i="1" s="1"/>
  <c r="X26" i="1" s="1"/>
  <c r="X25" i="1" s="1"/>
  <c r="X24" i="1" s="1"/>
  <c r="X23" i="1" s="1"/>
  <c r="X22" i="1" s="1"/>
  <c r="Y76" i="1" l="1"/>
  <c r="Z37" i="1" s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S38" i="1"/>
  <c r="S37" i="1"/>
  <c r="S36" i="1" s="1"/>
  <c r="S35" i="1" s="1"/>
  <c r="S34" i="1" s="1"/>
  <c r="S33" i="1" s="1"/>
  <c r="S32" i="1" s="1"/>
  <c r="S31" i="1" s="1"/>
  <c r="S30" i="1" s="1"/>
  <c r="S29" i="1" s="1"/>
  <c r="S28" i="1" s="1"/>
  <c r="S27" i="1" s="1"/>
  <c r="S26" i="1" s="1"/>
  <c r="S25" i="1" s="1"/>
  <c r="S24" i="1" s="1"/>
  <c r="S23" i="1" s="1"/>
  <c r="S22" i="1" s="1"/>
  <c r="S39" i="1"/>
  <c r="S41" i="1"/>
  <c r="T41" i="1" s="1"/>
  <c r="E9" i="1"/>
  <c r="E7" i="1"/>
  <c r="E10" i="1"/>
  <c r="E3" i="1"/>
  <c r="E5" i="1"/>
  <c r="E4" i="1"/>
  <c r="E6" i="1"/>
  <c r="E14" i="1"/>
  <c r="E13" i="1"/>
  <c r="E12" i="1"/>
  <c r="E11" i="1"/>
  <c r="Z18" i="1" l="1"/>
  <c r="Z60" i="1"/>
  <c r="Z22" i="1"/>
  <c r="Z6" i="1"/>
  <c r="Z9" i="1"/>
  <c r="Z57" i="1"/>
  <c r="Z73" i="1"/>
  <c r="Z12" i="1"/>
  <c r="Z59" i="1"/>
  <c r="Z24" i="1"/>
  <c r="Z61" i="1"/>
  <c r="Z11" i="1"/>
  <c r="Z66" i="1"/>
  <c r="Z31" i="1"/>
  <c r="Z29" i="1"/>
  <c r="Z75" i="1"/>
  <c r="Z70" i="1"/>
  <c r="Z72" i="1"/>
  <c r="Z21" i="1"/>
  <c r="Z5" i="1"/>
  <c r="Z16" i="1"/>
  <c r="Z69" i="1"/>
  <c r="Z14" i="1"/>
  <c r="Z63" i="1"/>
  <c r="Z62" i="1"/>
  <c r="Z68" i="1"/>
  <c r="Z17" i="1"/>
  <c r="Z71" i="1"/>
  <c r="Z8" i="1"/>
  <c r="Z15" i="1"/>
  <c r="Z41" i="1"/>
  <c r="Z48" i="1"/>
  <c r="Z34" i="1"/>
  <c r="Z46" i="1"/>
  <c r="Z65" i="1"/>
  <c r="Z10" i="1"/>
  <c r="Z20" i="1"/>
  <c r="Z19" i="1"/>
  <c r="Z64" i="1"/>
  <c r="Z13" i="1"/>
  <c r="Z67" i="1"/>
  <c r="Z74" i="1"/>
  <c r="Z7" i="1"/>
  <c r="Z32" i="1"/>
  <c r="Z35" i="1"/>
  <c r="Z30" i="1"/>
  <c r="Z42" i="1"/>
  <c r="Z45" i="1"/>
  <c r="Z52" i="1"/>
  <c r="Z27" i="1"/>
  <c r="Z54" i="1"/>
  <c r="Z25" i="1"/>
  <c r="Z49" i="1"/>
  <c r="Z28" i="1"/>
  <c r="Z44" i="1"/>
  <c r="Z38" i="1"/>
  <c r="Z58" i="1"/>
  <c r="Z40" i="1"/>
  <c r="Z55" i="1"/>
  <c r="Z47" i="1"/>
  <c r="Z43" i="1"/>
  <c r="Z51" i="1"/>
  <c r="Z53" i="1"/>
  <c r="Z36" i="1"/>
  <c r="Z56" i="1"/>
  <c r="Z39" i="1"/>
  <c r="Z23" i="1"/>
  <c r="Z26" i="1"/>
  <c r="Z50" i="1"/>
  <c r="Z33" i="1"/>
  <c r="S42" i="1"/>
  <c r="S43" i="1" l="1"/>
  <c r="T42" i="1"/>
  <c r="S44" i="1" l="1"/>
  <c r="T43" i="1"/>
  <c r="S45" i="1" l="1"/>
  <c r="T44" i="1"/>
  <c r="S46" i="1" l="1"/>
  <c r="T45" i="1"/>
  <c r="S47" i="1" l="1"/>
  <c r="T46" i="1"/>
  <c r="S48" i="1" l="1"/>
  <c r="T47" i="1"/>
  <c r="S49" i="1" l="1"/>
  <c r="T48" i="1"/>
  <c r="S50" i="1" l="1"/>
  <c r="T49" i="1"/>
  <c r="S51" i="1" l="1"/>
  <c r="T50" i="1"/>
  <c r="S52" i="1" l="1"/>
  <c r="T51" i="1"/>
  <c r="S53" i="1" l="1"/>
  <c r="T52" i="1"/>
  <c r="S54" i="1" l="1"/>
  <c r="T53" i="1"/>
  <c r="S55" i="1" l="1"/>
  <c r="T54" i="1"/>
  <c r="S56" i="1" l="1"/>
  <c r="T55" i="1"/>
  <c r="S57" i="1" l="1"/>
  <c r="T56" i="1"/>
  <c r="S58" i="1" l="1"/>
  <c r="T57" i="1"/>
  <c r="S59" i="1" l="1"/>
  <c r="T58" i="1"/>
  <c r="S60" i="1" l="1"/>
  <c r="T59" i="1"/>
  <c r="S61" i="1" l="1"/>
  <c r="T60" i="1"/>
  <c r="S62" i="1" l="1"/>
  <c r="T61" i="1"/>
  <c r="S63" i="1" l="1"/>
  <c r="T62" i="1"/>
  <c r="S64" i="1" l="1"/>
  <c r="T63" i="1"/>
  <c r="S65" i="1" l="1"/>
  <c r="T64" i="1"/>
  <c r="S66" i="1" l="1"/>
  <c r="T65" i="1"/>
  <c r="S67" i="1" l="1"/>
  <c r="T66" i="1"/>
  <c r="S68" i="1" l="1"/>
  <c r="T68" i="1" s="1"/>
  <c r="T67" i="1"/>
  <c r="T69" i="1" l="1"/>
  <c r="U34" i="1" l="1"/>
  <c r="U26" i="1"/>
  <c r="U40" i="1"/>
  <c r="U36" i="1"/>
  <c r="U32" i="1"/>
  <c r="U28" i="1"/>
  <c r="U24" i="1"/>
  <c r="U38" i="1"/>
  <c r="U30" i="1"/>
  <c r="U22" i="1"/>
  <c r="U33" i="1"/>
  <c r="U23" i="1"/>
  <c r="U39" i="1"/>
  <c r="U37" i="1"/>
  <c r="U27" i="1"/>
  <c r="U25" i="1"/>
  <c r="U41" i="1"/>
  <c r="U31" i="1"/>
  <c r="U29" i="1"/>
  <c r="U35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</calcChain>
</file>

<file path=xl/sharedStrings.xml><?xml version="1.0" encoding="utf-8"?>
<sst xmlns="http://schemas.openxmlformats.org/spreadsheetml/2006/main" count="2" uniqueCount="2">
  <si>
    <t>n</t>
  </si>
  <si>
    <t>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</si>
</sst>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325896762904635E-2"/>
          <c:y val="5.0925925925925923E-2"/>
          <c:w val="0.92998425196850398"/>
          <c:h val="0.73492271799358411"/>
        </c:manualLayout>
      </c:layout>
      <c:lineChart>
        <c:grouping val="standard"/>
        <c:varyColors val="0"/>
        <c:ser>
          <c:idx val="1"/>
          <c:order val="1"/>
          <c:marker>
            <c:symbol val="none"/>
          </c:marker>
          <c:cat>
            <c:numRef>
              <c:f>Sheet1!$S$22:$S$58</c:f>
              <c:numCache>
                <c:formatCode>General</c:formatCode>
                <c:ptCount val="37"/>
                <c:pt idx="0">
                  <c:v>1.8000000000000005</c:v>
                </c:pt>
                <c:pt idx="1">
                  <c:v>1.7000000000000004</c:v>
                </c:pt>
                <c:pt idx="2">
                  <c:v>1.6000000000000003</c:v>
                </c:pt>
                <c:pt idx="3">
                  <c:v>1.5000000000000002</c:v>
                </c:pt>
                <c:pt idx="4">
                  <c:v>1.4000000000000001</c:v>
                </c:pt>
                <c:pt idx="5">
                  <c:v>1.3</c:v>
                </c:pt>
                <c:pt idx="6">
                  <c:v>1.2</c:v>
                </c:pt>
                <c:pt idx="7">
                  <c:v>1.0999999999999999</c:v>
                </c:pt>
                <c:pt idx="8">
                  <c:v>0.99999999999999989</c:v>
                </c:pt>
                <c:pt idx="9">
                  <c:v>0.89999999999999991</c:v>
                </c:pt>
                <c:pt idx="10">
                  <c:v>0.79999999999999993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0.30000000000000004</c:v>
                </c:pt>
                <c:pt idx="16">
                  <c:v>0.2</c:v>
                </c:pt>
                <c:pt idx="17">
                  <c:v>0.1</c:v>
                </c:pt>
                <c:pt idx="18">
                  <c:v>0</c:v>
                </c:pt>
                <c:pt idx="19">
                  <c:v>0.1</c:v>
                </c:pt>
                <c:pt idx="20">
                  <c:v>0.2</c:v>
                </c:pt>
                <c:pt idx="21">
                  <c:v>0.30000000000000004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0.79999999999999993</c:v>
                </c:pt>
                <c:pt idx="27">
                  <c:v>0.89999999999999991</c:v>
                </c:pt>
                <c:pt idx="28">
                  <c:v>0.99999999999999989</c:v>
                </c:pt>
                <c:pt idx="29">
                  <c:v>1.0999999999999999</c:v>
                </c:pt>
                <c:pt idx="30">
                  <c:v>1.2</c:v>
                </c:pt>
                <c:pt idx="31">
                  <c:v>1.3</c:v>
                </c:pt>
                <c:pt idx="32">
                  <c:v>1.4000000000000001</c:v>
                </c:pt>
                <c:pt idx="33">
                  <c:v>1.5000000000000002</c:v>
                </c:pt>
                <c:pt idx="34">
                  <c:v>1.6000000000000003</c:v>
                </c:pt>
                <c:pt idx="35">
                  <c:v>1.7000000000000004</c:v>
                </c:pt>
                <c:pt idx="36">
                  <c:v>1.8000000000000005</c:v>
                </c:pt>
              </c:numCache>
            </c:numRef>
          </c:cat>
          <c:val>
            <c:numRef>
              <c:f>Sheet1!$U$22:$U$58</c:f>
              <c:numCache>
                <c:formatCode>General</c:formatCode>
                <c:ptCount val="37"/>
                <c:pt idx="0">
                  <c:v>9.2517629191261799E-3</c:v>
                </c:pt>
                <c:pt idx="1">
                  <c:v>1.0224779319148915E-2</c:v>
                </c:pt>
                <c:pt idx="2">
                  <c:v>1.1300128747264705E-2</c:v>
                </c:pt>
                <c:pt idx="3">
                  <c:v>1.2488573661987551E-2</c:v>
                </c:pt>
                <c:pt idx="4">
                  <c:v>1.3802008419474135E-2</c:v>
                </c:pt>
                <c:pt idx="5">
                  <c:v>1.525357831623805E-2</c:v>
                </c:pt>
                <c:pt idx="6">
                  <c:v>1.6857811151695601E-2</c:v>
                </c:pt>
                <c:pt idx="7">
                  <c:v>1.8630762627265318E-2</c:v>
                </c:pt>
                <c:pt idx="8">
                  <c:v>2.0590177037224277E-2</c:v>
                </c:pt>
                <c:pt idx="9">
                  <c:v>2.2755664859569272E-2</c:v>
                </c:pt>
                <c:pt idx="10">
                  <c:v>2.514889902427192E-2</c:v>
                </c:pt>
                <c:pt idx="11">
                  <c:v>2.7793831823246358E-2</c:v>
                </c:pt>
                <c:pt idx="12">
                  <c:v>3.0716934632937325E-2</c:v>
                </c:pt>
                <c:pt idx="13">
                  <c:v>3.3947462848753003E-2</c:v>
                </c:pt>
                <c:pt idx="14">
                  <c:v>3.7517748682895299E-2</c:v>
                </c:pt>
                <c:pt idx="15">
                  <c:v>4.1463524756006814E-2</c:v>
                </c:pt>
                <c:pt idx="16">
                  <c:v>4.5824281721248389E-2</c:v>
                </c:pt>
                <c:pt idx="17">
                  <c:v>5.0643663500029204E-2</c:v>
                </c:pt>
                <c:pt idx="18">
                  <c:v>5.596990408504144E-2</c:v>
                </c:pt>
                <c:pt idx="19">
                  <c:v>5.0643663500029204E-2</c:v>
                </c:pt>
                <c:pt idx="20">
                  <c:v>4.5824281721248389E-2</c:v>
                </c:pt>
                <c:pt idx="21">
                  <c:v>4.1463524756006814E-2</c:v>
                </c:pt>
                <c:pt idx="22">
                  <c:v>3.7517748682895299E-2</c:v>
                </c:pt>
                <c:pt idx="23">
                  <c:v>3.3947462848753003E-2</c:v>
                </c:pt>
                <c:pt idx="24">
                  <c:v>3.0716934632937325E-2</c:v>
                </c:pt>
                <c:pt idx="25">
                  <c:v>2.7793831823246358E-2</c:v>
                </c:pt>
                <c:pt idx="26">
                  <c:v>2.514889902427192E-2</c:v>
                </c:pt>
                <c:pt idx="27">
                  <c:v>2.2755664859569272E-2</c:v>
                </c:pt>
                <c:pt idx="28">
                  <c:v>2.0590177037224277E-2</c:v>
                </c:pt>
                <c:pt idx="29">
                  <c:v>1.8630762627265318E-2</c:v>
                </c:pt>
                <c:pt idx="30">
                  <c:v>1.6857811151695601E-2</c:v>
                </c:pt>
                <c:pt idx="31">
                  <c:v>1.525357831623805E-2</c:v>
                </c:pt>
                <c:pt idx="32">
                  <c:v>1.3802008419474135E-2</c:v>
                </c:pt>
                <c:pt idx="33">
                  <c:v>1.2488573661987551E-2</c:v>
                </c:pt>
                <c:pt idx="34">
                  <c:v>1.1300128747264705E-2</c:v>
                </c:pt>
                <c:pt idx="35">
                  <c:v>1.0224779319148915E-2</c:v>
                </c:pt>
                <c:pt idx="36">
                  <c:v>9.2517629191261799E-3</c:v>
                </c:pt>
              </c:numCache>
            </c:numRef>
          </c:val>
          <c:smooth val="0"/>
        </c:ser>
        <c:ser>
          <c:idx val="0"/>
          <c:order val="0"/>
          <c:marker>
            <c:symbol val="none"/>
          </c:marker>
          <c:cat>
            <c:numRef>
              <c:f>Sheet1!$S$22:$S$58</c:f>
              <c:numCache>
                <c:formatCode>General</c:formatCode>
                <c:ptCount val="37"/>
                <c:pt idx="0">
                  <c:v>1.8000000000000005</c:v>
                </c:pt>
                <c:pt idx="1">
                  <c:v>1.7000000000000004</c:v>
                </c:pt>
                <c:pt idx="2">
                  <c:v>1.6000000000000003</c:v>
                </c:pt>
                <c:pt idx="3">
                  <c:v>1.5000000000000002</c:v>
                </c:pt>
                <c:pt idx="4">
                  <c:v>1.4000000000000001</c:v>
                </c:pt>
                <c:pt idx="5">
                  <c:v>1.3</c:v>
                </c:pt>
                <c:pt idx="6">
                  <c:v>1.2</c:v>
                </c:pt>
                <c:pt idx="7">
                  <c:v>1.0999999999999999</c:v>
                </c:pt>
                <c:pt idx="8">
                  <c:v>0.99999999999999989</c:v>
                </c:pt>
                <c:pt idx="9">
                  <c:v>0.89999999999999991</c:v>
                </c:pt>
                <c:pt idx="10">
                  <c:v>0.79999999999999993</c:v>
                </c:pt>
                <c:pt idx="11">
                  <c:v>0.7</c:v>
                </c:pt>
                <c:pt idx="12">
                  <c:v>0.6</c:v>
                </c:pt>
                <c:pt idx="13">
                  <c:v>0.5</c:v>
                </c:pt>
                <c:pt idx="14">
                  <c:v>0.4</c:v>
                </c:pt>
                <c:pt idx="15">
                  <c:v>0.30000000000000004</c:v>
                </c:pt>
                <c:pt idx="16">
                  <c:v>0.2</c:v>
                </c:pt>
                <c:pt idx="17">
                  <c:v>0.1</c:v>
                </c:pt>
                <c:pt idx="18">
                  <c:v>0</c:v>
                </c:pt>
                <c:pt idx="19">
                  <c:v>0.1</c:v>
                </c:pt>
                <c:pt idx="20">
                  <c:v>0.2</c:v>
                </c:pt>
                <c:pt idx="21">
                  <c:v>0.30000000000000004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0.7</c:v>
                </c:pt>
                <c:pt idx="26">
                  <c:v>0.79999999999999993</c:v>
                </c:pt>
                <c:pt idx="27">
                  <c:v>0.89999999999999991</c:v>
                </c:pt>
                <c:pt idx="28">
                  <c:v>0.99999999999999989</c:v>
                </c:pt>
                <c:pt idx="29">
                  <c:v>1.0999999999999999</c:v>
                </c:pt>
                <c:pt idx="30">
                  <c:v>1.2</c:v>
                </c:pt>
                <c:pt idx="31">
                  <c:v>1.3</c:v>
                </c:pt>
                <c:pt idx="32">
                  <c:v>1.4000000000000001</c:v>
                </c:pt>
                <c:pt idx="33">
                  <c:v>1.5000000000000002</c:v>
                </c:pt>
                <c:pt idx="34">
                  <c:v>1.6000000000000003</c:v>
                </c:pt>
                <c:pt idx="35">
                  <c:v>1.7000000000000004</c:v>
                </c:pt>
                <c:pt idx="36">
                  <c:v>1.8000000000000005</c:v>
                </c:pt>
              </c:numCache>
            </c:numRef>
          </c:cat>
          <c:val>
            <c:numRef>
              <c:f>Sheet1!$U$22:$U$58</c:f>
              <c:numCache>
                <c:formatCode>General</c:formatCode>
                <c:ptCount val="37"/>
                <c:pt idx="0">
                  <c:v>9.2517629191261799E-3</c:v>
                </c:pt>
                <c:pt idx="1">
                  <c:v>1.0224779319148915E-2</c:v>
                </c:pt>
                <c:pt idx="2">
                  <c:v>1.1300128747264705E-2</c:v>
                </c:pt>
                <c:pt idx="3">
                  <c:v>1.2488573661987551E-2</c:v>
                </c:pt>
                <c:pt idx="4">
                  <c:v>1.3802008419474135E-2</c:v>
                </c:pt>
                <c:pt idx="5">
                  <c:v>1.525357831623805E-2</c:v>
                </c:pt>
                <c:pt idx="6">
                  <c:v>1.6857811151695601E-2</c:v>
                </c:pt>
                <c:pt idx="7">
                  <c:v>1.8630762627265318E-2</c:v>
                </c:pt>
                <c:pt idx="8">
                  <c:v>2.0590177037224277E-2</c:v>
                </c:pt>
                <c:pt idx="9">
                  <c:v>2.2755664859569272E-2</c:v>
                </c:pt>
                <c:pt idx="10">
                  <c:v>2.514889902427192E-2</c:v>
                </c:pt>
                <c:pt idx="11">
                  <c:v>2.7793831823246358E-2</c:v>
                </c:pt>
                <c:pt idx="12">
                  <c:v>3.0716934632937325E-2</c:v>
                </c:pt>
                <c:pt idx="13">
                  <c:v>3.3947462848753003E-2</c:v>
                </c:pt>
                <c:pt idx="14">
                  <c:v>3.7517748682895299E-2</c:v>
                </c:pt>
                <c:pt idx="15">
                  <c:v>4.1463524756006814E-2</c:v>
                </c:pt>
                <c:pt idx="16">
                  <c:v>4.5824281721248389E-2</c:v>
                </c:pt>
                <c:pt idx="17">
                  <c:v>5.0643663500029204E-2</c:v>
                </c:pt>
                <c:pt idx="18">
                  <c:v>5.596990408504144E-2</c:v>
                </c:pt>
                <c:pt idx="19">
                  <c:v>5.0643663500029204E-2</c:v>
                </c:pt>
                <c:pt idx="20">
                  <c:v>4.5824281721248389E-2</c:v>
                </c:pt>
                <c:pt idx="21">
                  <c:v>4.1463524756006814E-2</c:v>
                </c:pt>
                <c:pt idx="22">
                  <c:v>3.7517748682895299E-2</c:v>
                </c:pt>
                <c:pt idx="23">
                  <c:v>3.3947462848753003E-2</c:v>
                </c:pt>
                <c:pt idx="24">
                  <c:v>3.0716934632937325E-2</c:v>
                </c:pt>
                <c:pt idx="25">
                  <c:v>2.7793831823246358E-2</c:v>
                </c:pt>
                <c:pt idx="26">
                  <c:v>2.514889902427192E-2</c:v>
                </c:pt>
                <c:pt idx="27">
                  <c:v>2.2755664859569272E-2</c:v>
                </c:pt>
                <c:pt idx="28">
                  <c:v>2.0590177037224277E-2</c:v>
                </c:pt>
                <c:pt idx="29">
                  <c:v>1.8630762627265318E-2</c:v>
                </c:pt>
                <c:pt idx="30">
                  <c:v>1.6857811151695601E-2</c:v>
                </c:pt>
                <c:pt idx="31">
                  <c:v>1.525357831623805E-2</c:v>
                </c:pt>
                <c:pt idx="32">
                  <c:v>1.3802008419474135E-2</c:v>
                </c:pt>
                <c:pt idx="33">
                  <c:v>1.2488573661987551E-2</c:v>
                </c:pt>
                <c:pt idx="34">
                  <c:v>1.1300128747264705E-2</c:v>
                </c:pt>
                <c:pt idx="35">
                  <c:v>1.0224779319148915E-2</c:v>
                </c:pt>
                <c:pt idx="36">
                  <c:v>9.2517629191261799E-3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1088"/>
        <c:axId val="43585920"/>
      </c:lineChart>
      <c:catAx>
        <c:axId val="4364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low"/>
        <c:crossAx val="43585920"/>
        <c:crossesAt val="1.0000000000000002E-2"/>
        <c:auto val="1"/>
        <c:lblAlgn val="ctr"/>
        <c:lblOffset val="100"/>
        <c:tickMarkSkip val="1"/>
        <c:noMultiLvlLbl val="0"/>
      </c:catAx>
      <c:valAx>
        <c:axId val="43585920"/>
        <c:scaling>
          <c:orientation val="minMax"/>
          <c:min val="1.0000000000000002E-2"/>
        </c:scaling>
        <c:delete val="1"/>
        <c:axPos val="l"/>
        <c:numFmt formatCode="General" sourceLinked="1"/>
        <c:majorTickMark val="out"/>
        <c:minorTickMark val="none"/>
        <c:tickLblPos val="none"/>
        <c:crossAx val="43641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Sheet1!$X$5:$X$75</c:f>
              <c:numCache>
                <c:formatCode>General</c:formatCode>
                <c:ptCount val="71"/>
                <c:pt idx="0">
                  <c:v>3.5000000000000018</c:v>
                </c:pt>
                <c:pt idx="1">
                  <c:v>3.4000000000000017</c:v>
                </c:pt>
                <c:pt idx="2">
                  <c:v>3.3000000000000016</c:v>
                </c:pt>
                <c:pt idx="3">
                  <c:v>3.2000000000000015</c:v>
                </c:pt>
                <c:pt idx="4">
                  <c:v>3.1000000000000014</c:v>
                </c:pt>
                <c:pt idx="5">
                  <c:v>3.0000000000000013</c:v>
                </c:pt>
                <c:pt idx="6">
                  <c:v>2.9000000000000012</c:v>
                </c:pt>
                <c:pt idx="7">
                  <c:v>2.8000000000000012</c:v>
                </c:pt>
                <c:pt idx="8">
                  <c:v>2.7000000000000011</c:v>
                </c:pt>
                <c:pt idx="9">
                  <c:v>2.600000000000001</c:v>
                </c:pt>
                <c:pt idx="10">
                  <c:v>2.5000000000000009</c:v>
                </c:pt>
                <c:pt idx="11">
                  <c:v>2.4000000000000008</c:v>
                </c:pt>
                <c:pt idx="12">
                  <c:v>2.3000000000000007</c:v>
                </c:pt>
                <c:pt idx="13">
                  <c:v>2.2000000000000006</c:v>
                </c:pt>
                <c:pt idx="14">
                  <c:v>2.1000000000000005</c:v>
                </c:pt>
                <c:pt idx="15">
                  <c:v>2.0000000000000004</c:v>
                </c:pt>
                <c:pt idx="16">
                  <c:v>1.9000000000000006</c:v>
                </c:pt>
                <c:pt idx="17">
                  <c:v>1.8000000000000005</c:v>
                </c:pt>
                <c:pt idx="18">
                  <c:v>1.7000000000000004</c:v>
                </c:pt>
                <c:pt idx="19">
                  <c:v>1.6000000000000003</c:v>
                </c:pt>
                <c:pt idx="20">
                  <c:v>1.5000000000000002</c:v>
                </c:pt>
                <c:pt idx="21">
                  <c:v>1.4000000000000001</c:v>
                </c:pt>
                <c:pt idx="22">
                  <c:v>1.3</c:v>
                </c:pt>
                <c:pt idx="23">
                  <c:v>1.2</c:v>
                </c:pt>
                <c:pt idx="24">
                  <c:v>1.0999999999999999</c:v>
                </c:pt>
                <c:pt idx="25">
                  <c:v>0.99999999999999989</c:v>
                </c:pt>
                <c:pt idx="26">
                  <c:v>0.89999999999999991</c:v>
                </c:pt>
                <c:pt idx="27">
                  <c:v>0.79999999999999993</c:v>
                </c:pt>
                <c:pt idx="28">
                  <c:v>0.7</c:v>
                </c:pt>
                <c:pt idx="29">
                  <c:v>0.6</c:v>
                </c:pt>
                <c:pt idx="30">
                  <c:v>0.5</c:v>
                </c:pt>
                <c:pt idx="31">
                  <c:v>0.4</c:v>
                </c:pt>
                <c:pt idx="32">
                  <c:v>0.30000000000000004</c:v>
                </c:pt>
                <c:pt idx="33">
                  <c:v>0.2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0.30000000000000004</c:v>
                </c:pt>
                <c:pt idx="39">
                  <c:v>0.4</c:v>
                </c:pt>
                <c:pt idx="40">
                  <c:v>0.5</c:v>
                </c:pt>
                <c:pt idx="41">
                  <c:v>0.6</c:v>
                </c:pt>
                <c:pt idx="42">
                  <c:v>0.7</c:v>
                </c:pt>
                <c:pt idx="43">
                  <c:v>0.79999999999999993</c:v>
                </c:pt>
                <c:pt idx="44">
                  <c:v>0.89999999999999991</c:v>
                </c:pt>
                <c:pt idx="45">
                  <c:v>0.99999999999999989</c:v>
                </c:pt>
                <c:pt idx="46">
                  <c:v>1.0999999999999999</c:v>
                </c:pt>
                <c:pt idx="47">
                  <c:v>1.2</c:v>
                </c:pt>
                <c:pt idx="48">
                  <c:v>1.3</c:v>
                </c:pt>
                <c:pt idx="49">
                  <c:v>1.4000000000000001</c:v>
                </c:pt>
                <c:pt idx="50">
                  <c:v>1.5000000000000002</c:v>
                </c:pt>
                <c:pt idx="51">
                  <c:v>1.6000000000000003</c:v>
                </c:pt>
                <c:pt idx="52">
                  <c:v>1.7000000000000004</c:v>
                </c:pt>
                <c:pt idx="53">
                  <c:v>1.8000000000000005</c:v>
                </c:pt>
                <c:pt idx="54">
                  <c:v>1.9000000000000006</c:v>
                </c:pt>
                <c:pt idx="55">
                  <c:v>2.0000000000000004</c:v>
                </c:pt>
                <c:pt idx="56">
                  <c:v>2.1000000000000005</c:v>
                </c:pt>
                <c:pt idx="57">
                  <c:v>2.2000000000000006</c:v>
                </c:pt>
                <c:pt idx="58">
                  <c:v>2.3000000000000007</c:v>
                </c:pt>
                <c:pt idx="59">
                  <c:v>2.4000000000000008</c:v>
                </c:pt>
                <c:pt idx="60">
                  <c:v>2.5000000000000009</c:v>
                </c:pt>
                <c:pt idx="61">
                  <c:v>2.600000000000001</c:v>
                </c:pt>
                <c:pt idx="62">
                  <c:v>2.7000000000000011</c:v>
                </c:pt>
                <c:pt idx="63">
                  <c:v>2.8000000000000012</c:v>
                </c:pt>
                <c:pt idx="64">
                  <c:v>2.9000000000000012</c:v>
                </c:pt>
                <c:pt idx="65">
                  <c:v>3.0000000000000013</c:v>
                </c:pt>
                <c:pt idx="66">
                  <c:v>3.1000000000000014</c:v>
                </c:pt>
                <c:pt idx="67">
                  <c:v>3.2000000000000015</c:v>
                </c:pt>
                <c:pt idx="68">
                  <c:v>3.3000000000000016</c:v>
                </c:pt>
                <c:pt idx="69">
                  <c:v>3.4000000000000017</c:v>
                </c:pt>
                <c:pt idx="70">
                  <c:v>3.5000000000000018</c:v>
                </c:pt>
              </c:numCache>
            </c:numRef>
          </c:cat>
          <c:val>
            <c:numRef>
              <c:f>Sheet1!$Z$5:$Z$75</c:f>
              <c:numCache>
                <c:formatCode>General</c:formatCode>
                <c:ptCount val="71"/>
                <c:pt idx="0">
                  <c:v>2.7237706391271717E-7</c:v>
                </c:pt>
                <c:pt idx="1">
                  <c:v>5.4304238322192881E-7</c:v>
                </c:pt>
                <c:pt idx="2">
                  <c:v>1.061233691979377E-6</c:v>
                </c:pt>
                <c:pt idx="3">
                  <c:v>2.0328364661116578E-6</c:v>
                </c:pt>
                <c:pt idx="4">
                  <c:v>3.8168752546855936E-6</c:v>
                </c:pt>
                <c:pt idx="5">
                  <c:v>7.0246970639560333E-6</c:v>
                </c:pt>
                <c:pt idx="6">
                  <c:v>1.267247212505602E-5</c:v>
                </c:pt>
                <c:pt idx="7">
                  <c:v>2.2408314918949035E-5</c:v>
                </c:pt>
                <c:pt idx="8">
                  <c:v>3.8839279458591425E-5</c:v>
                </c:pt>
                <c:pt idx="9">
                  <c:v>6.5985306715665791E-5</c:v>
                </c:pt>
                <c:pt idx="10">
                  <c:v>1.0988475026940198E-4</c:v>
                </c:pt>
                <c:pt idx="11">
                  <c:v>1.7936666019049106E-4</c:v>
                </c:pt>
                <c:pt idx="12">
                  <c:v>2.8698561476157733E-4</c:v>
                </c:pt>
                <c:pt idx="13">
                  <c:v>4.5008303669096954E-4</c:v>
                </c:pt>
                <c:pt idx="14">
                  <c:v>6.918935343746505E-4</c:v>
                </c:pt>
                <c:pt idx="15">
                  <c:v>1.042557483000315E-3</c:v>
                </c:pt>
                <c:pt idx="16">
                  <c:v>1.5398373789100943E-3</c:v>
                </c:pt>
                <c:pt idx="17">
                  <c:v>2.2292758744005903E-3</c:v>
                </c:pt>
                <c:pt idx="18">
                  <c:v>3.1634930502237361E-3</c:v>
                </c:pt>
                <c:pt idx="19">
                  <c:v>4.4003180074778884E-3</c:v>
                </c:pt>
                <c:pt idx="20">
                  <c:v>5.9995040815634176E-3</c:v>
                </c:pt>
                <c:pt idx="21">
                  <c:v>8.0179021691223692E-3</c:v>
                </c:pt>
                <c:pt idx="22">
                  <c:v>1.0503166811007299E-2</c:v>
                </c:pt>
                <c:pt idx="23">
                  <c:v>1.3486333141044506E-2</c:v>
                </c:pt>
                <c:pt idx="24">
                  <c:v>1.6973899025230867E-2</c:v>
                </c:pt>
                <c:pt idx="25">
                  <c:v>2.094032681934847E-2</c:v>
                </c:pt>
                <c:pt idx="26">
                  <c:v>2.5322081781108487E-2</c:v>
                </c:pt>
                <c:pt idx="27">
                  <c:v>3.0014386380678933E-2</c:v>
                </c:pt>
                <c:pt idx="28">
                  <c:v>3.4871741871550198E-2</c:v>
                </c:pt>
                <c:pt idx="29">
                  <c:v>3.9712929419291026E-2</c:v>
                </c:pt>
                <c:pt idx="30">
                  <c:v>4.4330672224435534E-2</c:v>
                </c:pt>
                <c:pt idx="31">
                  <c:v>4.8505481527342215E-2</c:v>
                </c:pt>
                <c:pt idx="32">
                  <c:v>5.2022525773749793E-2</c:v>
                </c:pt>
                <c:pt idx="33">
                  <c:v>5.4689777706419918E-2</c:v>
                </c:pt>
                <c:pt idx="34">
                  <c:v>5.6355329398490375E-2</c:v>
                </c:pt>
                <c:pt idx="35">
                  <c:v>5.692170987502853E-2</c:v>
                </c:pt>
                <c:pt idx="36">
                  <c:v>5.6355329398490375E-2</c:v>
                </c:pt>
                <c:pt idx="37">
                  <c:v>5.4689777706419918E-2</c:v>
                </c:pt>
                <c:pt idx="38">
                  <c:v>5.2022525773749793E-2</c:v>
                </c:pt>
                <c:pt idx="39">
                  <c:v>4.8505481527342215E-2</c:v>
                </c:pt>
                <c:pt idx="40">
                  <c:v>4.4330672224435534E-2</c:v>
                </c:pt>
                <c:pt idx="41">
                  <c:v>3.9712929419291026E-2</c:v>
                </c:pt>
                <c:pt idx="42">
                  <c:v>3.4871741871550198E-2</c:v>
                </c:pt>
                <c:pt idx="43">
                  <c:v>3.0014386380678933E-2</c:v>
                </c:pt>
                <c:pt idx="44">
                  <c:v>2.5322081781108487E-2</c:v>
                </c:pt>
                <c:pt idx="45">
                  <c:v>2.094032681934847E-2</c:v>
                </c:pt>
                <c:pt idx="46">
                  <c:v>1.6973899025230867E-2</c:v>
                </c:pt>
                <c:pt idx="47">
                  <c:v>1.3486333141044506E-2</c:v>
                </c:pt>
                <c:pt idx="48">
                  <c:v>1.0503166811007299E-2</c:v>
                </c:pt>
                <c:pt idx="49">
                  <c:v>8.0179021691223692E-3</c:v>
                </c:pt>
                <c:pt idx="50">
                  <c:v>5.9995040815634176E-3</c:v>
                </c:pt>
                <c:pt idx="51">
                  <c:v>4.4003180074778884E-3</c:v>
                </c:pt>
                <c:pt idx="52">
                  <c:v>3.1634930502237361E-3</c:v>
                </c:pt>
                <c:pt idx="53">
                  <c:v>2.2292758744005903E-3</c:v>
                </c:pt>
                <c:pt idx="54">
                  <c:v>1.5398373789100943E-3</c:v>
                </c:pt>
                <c:pt idx="55">
                  <c:v>1.042557483000315E-3</c:v>
                </c:pt>
                <c:pt idx="56">
                  <c:v>6.918935343746505E-4</c:v>
                </c:pt>
                <c:pt idx="57">
                  <c:v>4.5008303669096954E-4</c:v>
                </c:pt>
                <c:pt idx="58">
                  <c:v>2.8698561476157733E-4</c:v>
                </c:pt>
                <c:pt idx="59">
                  <c:v>1.7936666019049106E-4</c:v>
                </c:pt>
                <c:pt idx="60">
                  <c:v>1.0988475026940198E-4</c:v>
                </c:pt>
                <c:pt idx="61">
                  <c:v>6.5985306715665791E-5</c:v>
                </c:pt>
                <c:pt idx="62">
                  <c:v>3.8839279458591425E-5</c:v>
                </c:pt>
                <c:pt idx="63">
                  <c:v>2.2408314918949035E-5</c:v>
                </c:pt>
                <c:pt idx="64">
                  <c:v>1.267247212505602E-5</c:v>
                </c:pt>
                <c:pt idx="65">
                  <c:v>7.0246970639560333E-6</c:v>
                </c:pt>
                <c:pt idx="66">
                  <c:v>3.8168752546855936E-6</c:v>
                </c:pt>
                <c:pt idx="67">
                  <c:v>2.0328364661116578E-6</c:v>
                </c:pt>
                <c:pt idx="68">
                  <c:v>1.061233691979377E-6</c:v>
                </c:pt>
                <c:pt idx="69">
                  <c:v>5.4304238322192881E-7</c:v>
                </c:pt>
                <c:pt idx="70">
                  <c:v>2.7237706391271717E-7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Sheet1!$X$5:$X$75</c:f>
              <c:numCache>
                <c:formatCode>General</c:formatCode>
                <c:ptCount val="71"/>
                <c:pt idx="0">
                  <c:v>3.5000000000000018</c:v>
                </c:pt>
                <c:pt idx="1">
                  <c:v>3.4000000000000017</c:v>
                </c:pt>
                <c:pt idx="2">
                  <c:v>3.3000000000000016</c:v>
                </c:pt>
                <c:pt idx="3">
                  <c:v>3.2000000000000015</c:v>
                </c:pt>
                <c:pt idx="4">
                  <c:v>3.1000000000000014</c:v>
                </c:pt>
                <c:pt idx="5">
                  <c:v>3.0000000000000013</c:v>
                </c:pt>
                <c:pt idx="6">
                  <c:v>2.9000000000000012</c:v>
                </c:pt>
                <c:pt idx="7">
                  <c:v>2.8000000000000012</c:v>
                </c:pt>
                <c:pt idx="8">
                  <c:v>2.7000000000000011</c:v>
                </c:pt>
                <c:pt idx="9">
                  <c:v>2.600000000000001</c:v>
                </c:pt>
                <c:pt idx="10">
                  <c:v>2.5000000000000009</c:v>
                </c:pt>
                <c:pt idx="11">
                  <c:v>2.4000000000000008</c:v>
                </c:pt>
                <c:pt idx="12">
                  <c:v>2.3000000000000007</c:v>
                </c:pt>
                <c:pt idx="13">
                  <c:v>2.2000000000000006</c:v>
                </c:pt>
                <c:pt idx="14">
                  <c:v>2.1000000000000005</c:v>
                </c:pt>
                <c:pt idx="15">
                  <c:v>2.0000000000000004</c:v>
                </c:pt>
                <c:pt idx="16">
                  <c:v>1.9000000000000006</c:v>
                </c:pt>
                <c:pt idx="17">
                  <c:v>1.8000000000000005</c:v>
                </c:pt>
                <c:pt idx="18">
                  <c:v>1.7000000000000004</c:v>
                </c:pt>
                <c:pt idx="19">
                  <c:v>1.6000000000000003</c:v>
                </c:pt>
                <c:pt idx="20">
                  <c:v>1.5000000000000002</c:v>
                </c:pt>
                <c:pt idx="21">
                  <c:v>1.4000000000000001</c:v>
                </c:pt>
                <c:pt idx="22">
                  <c:v>1.3</c:v>
                </c:pt>
                <c:pt idx="23">
                  <c:v>1.2</c:v>
                </c:pt>
                <c:pt idx="24">
                  <c:v>1.0999999999999999</c:v>
                </c:pt>
                <c:pt idx="25">
                  <c:v>0.99999999999999989</c:v>
                </c:pt>
                <c:pt idx="26">
                  <c:v>0.89999999999999991</c:v>
                </c:pt>
                <c:pt idx="27">
                  <c:v>0.79999999999999993</c:v>
                </c:pt>
                <c:pt idx="28">
                  <c:v>0.7</c:v>
                </c:pt>
                <c:pt idx="29">
                  <c:v>0.6</c:v>
                </c:pt>
                <c:pt idx="30">
                  <c:v>0.5</c:v>
                </c:pt>
                <c:pt idx="31">
                  <c:v>0.4</c:v>
                </c:pt>
                <c:pt idx="32">
                  <c:v>0.30000000000000004</c:v>
                </c:pt>
                <c:pt idx="33">
                  <c:v>0.2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0.2</c:v>
                </c:pt>
                <c:pt idx="38">
                  <c:v>0.30000000000000004</c:v>
                </c:pt>
                <c:pt idx="39">
                  <c:v>0.4</c:v>
                </c:pt>
                <c:pt idx="40">
                  <c:v>0.5</c:v>
                </c:pt>
                <c:pt idx="41">
                  <c:v>0.6</c:v>
                </c:pt>
                <c:pt idx="42">
                  <c:v>0.7</c:v>
                </c:pt>
                <c:pt idx="43">
                  <c:v>0.79999999999999993</c:v>
                </c:pt>
                <c:pt idx="44">
                  <c:v>0.89999999999999991</c:v>
                </c:pt>
                <c:pt idx="45">
                  <c:v>0.99999999999999989</c:v>
                </c:pt>
                <c:pt idx="46">
                  <c:v>1.0999999999999999</c:v>
                </c:pt>
                <c:pt idx="47">
                  <c:v>1.2</c:v>
                </c:pt>
                <c:pt idx="48">
                  <c:v>1.3</c:v>
                </c:pt>
                <c:pt idx="49">
                  <c:v>1.4000000000000001</c:v>
                </c:pt>
                <c:pt idx="50">
                  <c:v>1.5000000000000002</c:v>
                </c:pt>
                <c:pt idx="51">
                  <c:v>1.6000000000000003</c:v>
                </c:pt>
                <c:pt idx="52">
                  <c:v>1.7000000000000004</c:v>
                </c:pt>
                <c:pt idx="53">
                  <c:v>1.8000000000000005</c:v>
                </c:pt>
                <c:pt idx="54">
                  <c:v>1.9000000000000006</c:v>
                </c:pt>
                <c:pt idx="55">
                  <c:v>2.0000000000000004</c:v>
                </c:pt>
                <c:pt idx="56">
                  <c:v>2.1000000000000005</c:v>
                </c:pt>
                <c:pt idx="57">
                  <c:v>2.2000000000000006</c:v>
                </c:pt>
                <c:pt idx="58">
                  <c:v>2.3000000000000007</c:v>
                </c:pt>
                <c:pt idx="59">
                  <c:v>2.4000000000000008</c:v>
                </c:pt>
                <c:pt idx="60">
                  <c:v>2.5000000000000009</c:v>
                </c:pt>
                <c:pt idx="61">
                  <c:v>2.600000000000001</c:v>
                </c:pt>
                <c:pt idx="62">
                  <c:v>2.7000000000000011</c:v>
                </c:pt>
                <c:pt idx="63">
                  <c:v>2.8000000000000012</c:v>
                </c:pt>
                <c:pt idx="64">
                  <c:v>2.9000000000000012</c:v>
                </c:pt>
                <c:pt idx="65">
                  <c:v>3.0000000000000013</c:v>
                </c:pt>
                <c:pt idx="66">
                  <c:v>3.1000000000000014</c:v>
                </c:pt>
                <c:pt idx="67">
                  <c:v>3.2000000000000015</c:v>
                </c:pt>
                <c:pt idx="68">
                  <c:v>3.3000000000000016</c:v>
                </c:pt>
                <c:pt idx="69">
                  <c:v>3.4000000000000017</c:v>
                </c:pt>
                <c:pt idx="70">
                  <c:v>3.5000000000000018</c:v>
                </c:pt>
              </c:numCache>
            </c:numRef>
          </c:cat>
          <c:val>
            <c:numRef>
              <c:f>Sheet1!$AC$5:$AC$75</c:f>
              <c:numCache>
                <c:formatCode>General</c:formatCode>
                <c:ptCount val="71"/>
                <c:pt idx="0">
                  <c:v>1.3033562257457613E-12</c:v>
                </c:pt>
                <c:pt idx="1">
                  <c:v>5.1807127829222533E-12</c:v>
                </c:pt>
                <c:pt idx="2">
                  <c:v>1.9785367506787581E-11</c:v>
                </c:pt>
                <c:pt idx="3">
                  <c:v>7.2598383060278064E-11</c:v>
                </c:pt>
                <c:pt idx="4">
                  <c:v>2.5593989958868766E-10</c:v>
                </c:pt>
                <c:pt idx="5">
                  <c:v>8.6691648843108086E-10</c:v>
                </c:pt>
                <c:pt idx="6">
                  <c:v>2.8212706560098108E-9</c:v>
                </c:pt>
                <c:pt idx="7">
                  <c:v>8.8214598368394905E-9</c:v>
                </c:pt>
                <c:pt idx="8">
                  <c:v>2.650112992344128E-8</c:v>
                </c:pt>
                <c:pt idx="9">
                  <c:v>7.6492092593841932E-8</c:v>
                </c:pt>
                <c:pt idx="10">
                  <c:v>2.1212747066591498E-7</c:v>
                </c:pt>
                <c:pt idx="11">
                  <c:v>5.6520436330049675E-7</c:v>
                </c:pt>
                <c:pt idx="12">
                  <c:v>1.4469126676079005E-6</c:v>
                </c:pt>
                <c:pt idx="13">
                  <c:v>3.5588308988208005E-6</c:v>
                </c:pt>
                <c:pt idx="14">
                  <c:v>8.4100892956389923E-6</c:v>
                </c:pt>
                <c:pt idx="15">
                  <c:v>1.909510637938136E-5</c:v>
                </c:pt>
                <c:pt idx="16">
                  <c:v>4.1655444973358182E-5</c:v>
                </c:pt>
                <c:pt idx="17">
                  <c:v>8.7307126491727272E-5</c:v>
                </c:pt>
                <c:pt idx="18">
                  <c:v>1.7581496235418318E-4</c:v>
                </c:pt>
                <c:pt idx="19">
                  <c:v>3.4016544143605575E-4</c:v>
                </c:pt>
                <c:pt idx="20">
                  <c:v>6.3234307795252372E-4</c:v>
                </c:pt>
                <c:pt idx="21">
                  <c:v>1.1293890386419978E-3</c:v>
                </c:pt>
                <c:pt idx="22">
                  <c:v>1.9380393403860296E-3</c:v>
                </c:pt>
                <c:pt idx="23">
                  <c:v>3.1952866839480942E-3</c:v>
                </c:pt>
                <c:pt idx="24">
                  <c:v>5.0615705106414628E-3</c:v>
                </c:pt>
                <c:pt idx="25">
                  <c:v>7.7035157282492831E-3</c:v>
                </c:pt>
                <c:pt idx="26">
                  <c:v>1.1264732333883093E-2</c:v>
                </c:pt>
                <c:pt idx="27">
                  <c:v>1.5826358550832857E-2</c:v>
                </c:pt>
                <c:pt idx="28">
                  <c:v>2.1363349481697519E-2</c:v>
                </c:pt>
                <c:pt idx="29">
                  <c:v>2.7706770694769133E-2</c:v>
                </c:pt>
                <c:pt idx="30">
                  <c:v>3.4524762242472175E-2</c:v>
                </c:pt>
                <c:pt idx="31">
                  <c:v>4.1333644814339966E-2</c:v>
                </c:pt>
                <c:pt idx="32">
                  <c:v>4.7545008641206164E-2</c:v>
                </c:pt>
                <c:pt idx="33">
                  <c:v>5.2545360849916421E-2</c:v>
                </c:pt>
                <c:pt idx="34">
                  <c:v>5.5794584501854989E-2</c:v>
                </c:pt>
                <c:pt idx="35">
                  <c:v>5.692170987502853E-2</c:v>
                </c:pt>
                <c:pt idx="36">
                  <c:v>5.5794584501854989E-2</c:v>
                </c:pt>
                <c:pt idx="37">
                  <c:v>5.2545360849916421E-2</c:v>
                </c:pt>
                <c:pt idx="38">
                  <c:v>4.7545008641206164E-2</c:v>
                </c:pt>
                <c:pt idx="39">
                  <c:v>4.1333644814339966E-2</c:v>
                </c:pt>
                <c:pt idx="40">
                  <c:v>3.4524762242472175E-2</c:v>
                </c:pt>
                <c:pt idx="41">
                  <c:v>2.7706770694769133E-2</c:v>
                </c:pt>
                <c:pt idx="42">
                  <c:v>2.1363349481697519E-2</c:v>
                </c:pt>
                <c:pt idx="43">
                  <c:v>1.5826358550832857E-2</c:v>
                </c:pt>
                <c:pt idx="44">
                  <c:v>1.1264732333883093E-2</c:v>
                </c:pt>
                <c:pt idx="45">
                  <c:v>7.7035157282492831E-3</c:v>
                </c:pt>
                <c:pt idx="46">
                  <c:v>5.0615705106414628E-3</c:v>
                </c:pt>
                <c:pt idx="47">
                  <c:v>3.1952866839480942E-3</c:v>
                </c:pt>
                <c:pt idx="48">
                  <c:v>1.9380393403860296E-3</c:v>
                </c:pt>
                <c:pt idx="49">
                  <c:v>1.1293890386419978E-3</c:v>
                </c:pt>
                <c:pt idx="50">
                  <c:v>6.3234307795252372E-4</c:v>
                </c:pt>
                <c:pt idx="51">
                  <c:v>3.4016544143605575E-4</c:v>
                </c:pt>
                <c:pt idx="52">
                  <c:v>1.7581496235418318E-4</c:v>
                </c:pt>
                <c:pt idx="53">
                  <c:v>8.7307126491727272E-5</c:v>
                </c:pt>
                <c:pt idx="54">
                  <c:v>4.1655444973358182E-5</c:v>
                </c:pt>
                <c:pt idx="55">
                  <c:v>1.909510637938136E-5</c:v>
                </c:pt>
                <c:pt idx="56">
                  <c:v>8.4100892956389923E-6</c:v>
                </c:pt>
                <c:pt idx="57">
                  <c:v>3.5588308988208005E-6</c:v>
                </c:pt>
                <c:pt idx="58">
                  <c:v>1.4469126676079005E-6</c:v>
                </c:pt>
                <c:pt idx="59">
                  <c:v>5.6520436330049675E-7</c:v>
                </c:pt>
                <c:pt idx="60">
                  <c:v>2.1212747066591498E-7</c:v>
                </c:pt>
                <c:pt idx="61">
                  <c:v>7.6492092593841932E-8</c:v>
                </c:pt>
                <c:pt idx="62">
                  <c:v>2.650112992344128E-8</c:v>
                </c:pt>
                <c:pt idx="63">
                  <c:v>8.8214598368394905E-9</c:v>
                </c:pt>
                <c:pt idx="64">
                  <c:v>2.8212706560098108E-9</c:v>
                </c:pt>
                <c:pt idx="65">
                  <c:v>8.6691648843108086E-10</c:v>
                </c:pt>
                <c:pt idx="66">
                  <c:v>2.5593989958868766E-10</c:v>
                </c:pt>
                <c:pt idx="67">
                  <c:v>7.2598383060278064E-11</c:v>
                </c:pt>
                <c:pt idx="68">
                  <c:v>1.9785367506787581E-11</c:v>
                </c:pt>
                <c:pt idx="69">
                  <c:v>5.1807127829222533E-12</c:v>
                </c:pt>
                <c:pt idx="70">
                  <c:v>1.3033562257457613E-12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92576"/>
        <c:axId val="43994112"/>
      </c:lineChart>
      <c:catAx>
        <c:axId val="4399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994112"/>
        <c:crosses val="autoZero"/>
        <c:auto val="1"/>
        <c:lblAlgn val="ctr"/>
        <c:lblOffset val="100"/>
        <c:noMultiLvlLbl val="0"/>
      </c:catAx>
      <c:valAx>
        <c:axId val="4399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992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48</xdr:row>
      <xdr:rowOff>176212</xdr:rowOff>
    </xdr:from>
    <xdr:to>
      <xdr:col>16</xdr:col>
      <xdr:colOff>561975</xdr:colOff>
      <xdr:row>63</xdr:row>
      <xdr:rowOff>61912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2</xdr:row>
      <xdr:rowOff>76200</xdr:rowOff>
    </xdr:from>
    <xdr:to>
      <xdr:col>17</xdr:col>
      <xdr:colOff>266700</xdr:colOff>
      <xdr:row>16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C76"/>
  <sheetViews>
    <sheetView tabSelected="1" topLeftCell="I1" workbookViewId="0">
      <selection activeCell="AA1" sqref="AA1"/>
    </sheetView>
  </sheetViews>
  <sheetFormatPr defaultRowHeight="15" x14ac:dyDescent="0.25"/>
  <cols>
    <col min="28" max="28" width="12" bestFit="1" customWidth="1"/>
  </cols>
  <sheetData>
    <row r="3" spans="4:29" x14ac:dyDescent="0.25">
      <c r="D3">
        <v>4</v>
      </c>
      <c r="E3">
        <f>(D3^(($H$3)-1))*EXP(-($H$4*D3))</f>
        <v>1.8315638888734179E-2</v>
      </c>
      <c r="G3" t="s">
        <v>0</v>
      </c>
      <c r="H3">
        <v>1</v>
      </c>
    </row>
    <row r="4" spans="4:29" x14ac:dyDescent="0.25">
      <c r="D4">
        <v>3</v>
      </c>
      <c r="E4">
        <f t="shared" ref="E4:E5" si="0">(D4^(($H$3)-1))*EXP(-($H$4*D4))</f>
        <v>4.9787068367863944E-2</v>
      </c>
      <c r="G4" t="s">
        <v>1</v>
      </c>
      <c r="H4">
        <v>1</v>
      </c>
    </row>
    <row r="5" spans="4:29" x14ac:dyDescent="0.25">
      <c r="D5">
        <v>2</v>
      </c>
      <c r="E5">
        <f t="shared" si="0"/>
        <v>0.1353352832366127</v>
      </c>
      <c r="H5">
        <v>2</v>
      </c>
      <c r="X5">
        <f t="shared" ref="X5:X21" si="1">X6+0.1</f>
        <v>3.5000000000000018</v>
      </c>
      <c r="Y5">
        <f t="shared" ref="Y5:Y21" si="2">(X5^(($H$3)-1))*EXP(-($H$4*X5^2))</f>
        <v>4.7851173921289495E-6</v>
      </c>
      <c r="Z5">
        <f>Y5/$Y$76</f>
        <v>2.7237706391271717E-7</v>
      </c>
      <c r="AB5">
        <f>(X5^(($H$3)-1))*EXP(-($H$5*X5^2))</f>
        <v>2.2897348456454958E-11</v>
      </c>
      <c r="AC5">
        <f t="shared" ref="AC5:AC68" si="3">AB5/$Y$76</f>
        <v>1.3033562257457613E-12</v>
      </c>
    </row>
    <row r="6" spans="4:29" x14ac:dyDescent="0.25">
      <c r="D6">
        <v>1</v>
      </c>
      <c r="E6">
        <f>(D6^(($H$3)-1))*EXP(-($H$4*D6))</f>
        <v>0.36787944117144233</v>
      </c>
      <c r="X6">
        <f t="shared" si="1"/>
        <v>3.4000000000000017</v>
      </c>
      <c r="Y6">
        <f t="shared" si="2"/>
        <v>9.540162873079129E-6</v>
      </c>
      <c r="Z6">
        <f>Y6/$Y$76</f>
        <v>5.4304238322192881E-7</v>
      </c>
      <c r="AB6">
        <f t="shared" ref="AB6:AB69" si="4">(X6^(($H$3)-1))*EXP(-($H$5*X6^2))</f>
        <v>9.1014707644877412E-11</v>
      </c>
      <c r="AC6">
        <f t="shared" si="3"/>
        <v>5.1807127829222533E-12</v>
      </c>
    </row>
    <row r="7" spans="4:29" x14ac:dyDescent="0.25">
      <c r="D7">
        <v>0.5</v>
      </c>
      <c r="E7">
        <f>(D7^(($H$3)-1))*EXP(-($H$4*D7))</f>
        <v>0.60653065971263342</v>
      </c>
      <c r="X7">
        <f t="shared" si="1"/>
        <v>3.3000000000000016</v>
      </c>
      <c r="Y7">
        <f t="shared" si="2"/>
        <v>1.8643742331516621E-5</v>
      </c>
      <c r="Z7">
        <f>Y7/$Y$76</f>
        <v>1.061233691979377E-6</v>
      </c>
      <c r="AB7">
        <f t="shared" si="4"/>
        <v>3.4758912812398481E-10</v>
      </c>
      <c r="AC7">
        <f t="shared" si="3"/>
        <v>1.9785367506787581E-11</v>
      </c>
    </row>
    <row r="8" spans="4:29" x14ac:dyDescent="0.25">
      <c r="D8">
        <v>0</v>
      </c>
      <c r="E8">
        <v>1</v>
      </c>
      <c r="X8">
        <f t="shared" si="1"/>
        <v>3.2000000000000015</v>
      </c>
      <c r="Y8">
        <f t="shared" si="2"/>
        <v>3.5712849641634893E-5</v>
      </c>
      <c r="Z8">
        <f>Y8/$Y$76</f>
        <v>2.0328364661116578E-6</v>
      </c>
      <c r="AB8">
        <f t="shared" si="4"/>
        <v>1.2754076295260214E-9</v>
      </c>
      <c r="AC8">
        <f t="shared" si="3"/>
        <v>7.2598383060278064E-11</v>
      </c>
    </row>
    <row r="9" spans="4:29" x14ac:dyDescent="0.25">
      <c r="D9">
        <v>0.25</v>
      </c>
      <c r="E9">
        <f t="shared" ref="E9:E14" si="5">(D9^(($H$3)-1))*EXP(-($H$4*D9))</f>
        <v>0.77880078307140488</v>
      </c>
      <c r="X9">
        <f t="shared" si="1"/>
        <v>3.1000000000000014</v>
      </c>
      <c r="Y9">
        <f t="shared" si="2"/>
        <v>6.7054824302810538E-5</v>
      </c>
      <c r="Z9">
        <f>Y9/$Y$76</f>
        <v>3.8168752546855936E-6</v>
      </c>
      <c r="AB9">
        <f t="shared" si="4"/>
        <v>4.4963494622807898E-9</v>
      </c>
      <c r="AC9">
        <f t="shared" si="3"/>
        <v>2.5593989958868766E-10</v>
      </c>
    </row>
    <row r="10" spans="4:29" x14ac:dyDescent="0.25">
      <c r="D10">
        <v>0.5</v>
      </c>
      <c r="E10">
        <f t="shared" si="5"/>
        <v>0.60653065971263342</v>
      </c>
      <c r="X10">
        <f t="shared" si="1"/>
        <v>3.0000000000000013</v>
      </c>
      <c r="Y10">
        <f t="shared" si="2"/>
        <v>1.2340980408667867E-4</v>
      </c>
      <c r="Z10">
        <f>Y10/$Y$76</f>
        <v>7.0246970639560333E-6</v>
      </c>
      <c r="AB10">
        <f t="shared" si="4"/>
        <v>1.5229979744712411E-8</v>
      </c>
      <c r="AC10">
        <f t="shared" si="3"/>
        <v>8.6691648843108086E-10</v>
      </c>
    </row>
    <row r="11" spans="4:29" x14ac:dyDescent="0.25">
      <c r="D11">
        <v>1</v>
      </c>
      <c r="E11">
        <f t="shared" si="5"/>
        <v>0.36787944117144233</v>
      </c>
      <c r="X11">
        <f t="shared" si="1"/>
        <v>2.9000000000000012</v>
      </c>
      <c r="Y11">
        <f t="shared" si="2"/>
        <v>2.226298569188874E-4</v>
      </c>
      <c r="Z11">
        <f>Y11/$Y$76</f>
        <v>1.267247212505602E-5</v>
      </c>
      <c r="AB11">
        <f t="shared" si="4"/>
        <v>4.9564053191724273E-8</v>
      </c>
      <c r="AC11">
        <f t="shared" si="3"/>
        <v>2.8212706560098108E-9</v>
      </c>
    </row>
    <row r="12" spans="4:29" x14ac:dyDescent="0.25">
      <c r="D12">
        <v>2</v>
      </c>
      <c r="E12">
        <f t="shared" si="5"/>
        <v>0.1353352832366127</v>
      </c>
      <c r="X12">
        <f t="shared" si="1"/>
        <v>2.8000000000000012</v>
      </c>
      <c r="Y12">
        <f t="shared" si="2"/>
        <v>3.936690406550758E-4</v>
      </c>
      <c r="Z12">
        <f>Y12/$Y$76</f>
        <v>2.2408314918949035E-5</v>
      </c>
      <c r="AB12">
        <f t="shared" si="4"/>
        <v>1.5497531357028774E-7</v>
      </c>
      <c r="AC12">
        <f t="shared" si="3"/>
        <v>8.8214598368394905E-9</v>
      </c>
    </row>
    <row r="13" spans="4:29" x14ac:dyDescent="0.25">
      <c r="D13">
        <v>3</v>
      </c>
      <c r="E13">
        <f t="shared" si="5"/>
        <v>4.9787068367863944E-2</v>
      </c>
      <c r="X13">
        <f t="shared" si="1"/>
        <v>2.7000000000000011</v>
      </c>
      <c r="Y13">
        <f t="shared" si="2"/>
        <v>6.82328052756373E-4</v>
      </c>
      <c r="Z13">
        <f>Y13/$Y$76</f>
        <v>3.8839279458591425E-5</v>
      </c>
      <c r="AB13">
        <f t="shared" si="4"/>
        <v>4.6557157157830369E-7</v>
      </c>
      <c r="AC13">
        <f t="shared" si="3"/>
        <v>2.650112992344128E-8</v>
      </c>
    </row>
    <row r="14" spans="4:29" x14ac:dyDescent="0.25">
      <c r="D14">
        <v>4</v>
      </c>
      <c r="E14">
        <f t="shared" si="5"/>
        <v>1.8315638888734179E-2</v>
      </c>
      <c r="X14">
        <f t="shared" si="1"/>
        <v>2.600000000000001</v>
      </c>
      <c r="Y14">
        <f t="shared" si="2"/>
        <v>1.1592291739045853E-3</v>
      </c>
      <c r="Z14">
        <f>Y14/$Y$76</f>
        <v>6.5985306715665791E-5</v>
      </c>
      <c r="AB14">
        <f t="shared" si="4"/>
        <v>1.343812277631507E-6</v>
      </c>
      <c r="AC14">
        <f t="shared" si="3"/>
        <v>7.6492092593841932E-8</v>
      </c>
    </row>
    <row r="15" spans="4:29" x14ac:dyDescent="0.25">
      <c r="X15">
        <f t="shared" si="1"/>
        <v>2.5000000000000009</v>
      </c>
      <c r="Y15">
        <f t="shared" si="2"/>
        <v>1.9304541362277006E-3</v>
      </c>
      <c r="Z15">
        <f>Y15/$Y$76</f>
        <v>1.0988475026940198E-4</v>
      </c>
      <c r="AB15">
        <f t="shared" si="4"/>
        <v>3.7266531720786379E-6</v>
      </c>
      <c r="AC15">
        <f t="shared" si="3"/>
        <v>2.1212747066591498E-7</v>
      </c>
    </row>
    <row r="16" spans="4:29" x14ac:dyDescent="0.25">
      <c r="X16">
        <f t="shared" si="1"/>
        <v>2.4000000000000008</v>
      </c>
      <c r="Y16">
        <f t="shared" si="2"/>
        <v>3.1511115984444271E-3</v>
      </c>
      <c r="Z16">
        <f>Y16/$Y$76</f>
        <v>1.7936666019049106E-4</v>
      </c>
      <c r="AB16">
        <f t="shared" si="4"/>
        <v>9.9295043058509931E-6</v>
      </c>
      <c r="AC16">
        <f t="shared" si="3"/>
        <v>5.6520436330049675E-7</v>
      </c>
    </row>
    <row r="17" spans="19:29" x14ac:dyDescent="0.25">
      <c r="X17">
        <f t="shared" si="1"/>
        <v>2.3000000000000007</v>
      </c>
      <c r="Y17">
        <f t="shared" si="2"/>
        <v>5.0417602596909607E-3</v>
      </c>
      <c r="Z17">
        <f>Y17/$Y$76</f>
        <v>2.8698561476157733E-4</v>
      </c>
      <c r="AB17">
        <f t="shared" si="4"/>
        <v>2.5419346516199068E-5</v>
      </c>
      <c r="AC17">
        <f t="shared" si="3"/>
        <v>1.4469126676079005E-6</v>
      </c>
    </row>
    <row r="18" spans="19:29" x14ac:dyDescent="0.25">
      <c r="X18">
        <f t="shared" si="1"/>
        <v>2.2000000000000006</v>
      </c>
      <c r="Y18">
        <f t="shared" si="2"/>
        <v>7.9070540515934207E-3</v>
      </c>
      <c r="Z18">
        <f>Y18/$Y$76</f>
        <v>4.5008303669096954E-4</v>
      </c>
      <c r="AB18">
        <f t="shared" si="4"/>
        <v>6.2521503774819922E-5</v>
      </c>
      <c r="AC18">
        <f t="shared" si="3"/>
        <v>3.5588308988208005E-6</v>
      </c>
    </row>
    <row r="19" spans="19:29" x14ac:dyDescent="0.25">
      <c r="X19">
        <f t="shared" si="1"/>
        <v>2.1000000000000005</v>
      </c>
      <c r="Y19">
        <f t="shared" si="2"/>
        <v>1.2155178329914914E-2</v>
      </c>
      <c r="Z19">
        <f>Y19/$Y$76</f>
        <v>6.918935343746505E-4</v>
      </c>
      <c r="AB19">
        <f t="shared" si="4"/>
        <v>1.4774836023203312E-4</v>
      </c>
      <c r="AC19">
        <f t="shared" si="3"/>
        <v>8.4100892956389923E-6</v>
      </c>
    </row>
    <row r="20" spans="19:29" x14ac:dyDescent="0.25">
      <c r="X20">
        <f t="shared" si="1"/>
        <v>2.0000000000000004</v>
      </c>
      <c r="Y20">
        <f t="shared" si="2"/>
        <v>1.8315638888734147E-2</v>
      </c>
      <c r="Z20">
        <f>Y20/$Y$76</f>
        <v>1.042557483000315E-3</v>
      </c>
      <c r="AB20">
        <f t="shared" si="4"/>
        <v>3.3546262790251066E-4</v>
      </c>
      <c r="AC20">
        <f t="shared" si="3"/>
        <v>1.909510637938136E-5</v>
      </c>
    </row>
    <row r="21" spans="19:29" x14ac:dyDescent="0.25">
      <c r="X21">
        <f t="shared" si="1"/>
        <v>1.9000000000000006</v>
      </c>
      <c r="Y21">
        <f t="shared" si="2"/>
        <v>2.7051846866350353E-2</v>
      </c>
      <c r="Z21">
        <f>Y21/$Y$76</f>
        <v>1.5398373789100943E-3</v>
      </c>
      <c r="AB21">
        <f t="shared" si="4"/>
        <v>7.3180241888046952E-4</v>
      </c>
      <c r="AC21">
        <f t="shared" si="3"/>
        <v>4.1655444973358182E-5</v>
      </c>
    </row>
    <row r="22" spans="19:29" x14ac:dyDescent="0.25">
      <c r="S22">
        <f t="shared" ref="S22:S38" si="6">S23+0.1</f>
        <v>1.8000000000000005</v>
      </c>
      <c r="T22">
        <f t="shared" ref="T22:T39" si="7">(S22^(($H$3)-1))*EXP(-($H$4*S22))</f>
        <v>0.16529888822158645</v>
      </c>
      <c r="U22">
        <f>T22/$T$69</f>
        <v>9.2517629191261799E-3</v>
      </c>
      <c r="X22">
        <f t="shared" ref="X22:X38" si="8">X23+0.1</f>
        <v>1.8000000000000005</v>
      </c>
      <c r="Y22">
        <f>(X22^(($H$3)-1))*EXP(-($H$4*X22^2))</f>
        <v>3.916389509898701E-2</v>
      </c>
      <c r="Z22">
        <f>Y22/$Y$76</f>
        <v>2.2292758744005903E-3</v>
      </c>
      <c r="AB22">
        <f t="shared" si="4"/>
        <v>1.5338106793244589E-3</v>
      </c>
      <c r="AC22">
        <f t="shared" si="3"/>
        <v>8.7307126491727272E-5</v>
      </c>
    </row>
    <row r="23" spans="19:29" x14ac:dyDescent="0.25">
      <c r="S23">
        <f t="shared" si="6"/>
        <v>1.7000000000000004</v>
      </c>
      <c r="T23">
        <f t="shared" si="7"/>
        <v>0.18268352405273458</v>
      </c>
      <c r="U23">
        <f t="shared" ref="U23:U68" si="9">T23/$T$69</f>
        <v>1.0224779319148915E-2</v>
      </c>
      <c r="X23">
        <f t="shared" si="8"/>
        <v>1.7000000000000004</v>
      </c>
      <c r="Y23">
        <f t="shared" ref="Y23:Y75" si="10">(X23^(($H$3)-1))*EXP(-($H$4*X23^2))</f>
        <v>5.5576212611482989E-2</v>
      </c>
      <c r="Z23">
        <f>Y23/$Y$76</f>
        <v>3.1634930502237361E-3</v>
      </c>
      <c r="AB23">
        <f t="shared" si="4"/>
        <v>3.0887154082367605E-3</v>
      </c>
      <c r="AC23">
        <f t="shared" si="3"/>
        <v>1.7581496235418318E-4</v>
      </c>
    </row>
    <row r="24" spans="19:29" x14ac:dyDescent="0.25">
      <c r="S24">
        <f t="shared" si="6"/>
        <v>1.6000000000000003</v>
      </c>
      <c r="T24">
        <f t="shared" si="7"/>
        <v>0.20189651799465536</v>
      </c>
      <c r="U24">
        <f t="shared" si="9"/>
        <v>1.1300128747264705E-2</v>
      </c>
      <c r="X24">
        <f t="shared" si="8"/>
        <v>1.6000000000000003</v>
      </c>
      <c r="Y24">
        <f t="shared" si="10"/>
        <v>7.7304740443299672E-2</v>
      </c>
      <c r="Z24">
        <f>Y24/$Y$76</f>
        <v>4.4003180074778884E-3</v>
      </c>
      <c r="AB24">
        <f t="shared" si="4"/>
        <v>5.9760228950059323E-3</v>
      </c>
      <c r="AC24">
        <f t="shared" si="3"/>
        <v>3.4016544143605575E-4</v>
      </c>
    </row>
    <row r="25" spans="19:29" x14ac:dyDescent="0.25">
      <c r="S25">
        <f t="shared" si="6"/>
        <v>1.5000000000000002</v>
      </c>
      <c r="T25">
        <f t="shared" si="7"/>
        <v>0.22313016014842979</v>
      </c>
      <c r="U25">
        <f t="shared" si="9"/>
        <v>1.2488573661987551E-2</v>
      </c>
      <c r="X25">
        <f t="shared" si="8"/>
        <v>1.5000000000000002</v>
      </c>
      <c r="Y25">
        <f t="shared" si="10"/>
        <v>0.10539922456186425</v>
      </c>
      <c r="Z25">
        <f>Y25/$Y$76</f>
        <v>5.9995040815634176E-3</v>
      </c>
      <c r="AB25">
        <f t="shared" si="4"/>
        <v>1.1108996538242287E-2</v>
      </c>
      <c r="AC25">
        <f t="shared" si="3"/>
        <v>6.3234307795252372E-4</v>
      </c>
    </row>
    <row r="26" spans="19:29" x14ac:dyDescent="0.25">
      <c r="S26">
        <f t="shared" si="6"/>
        <v>1.4000000000000001</v>
      </c>
      <c r="T26">
        <f t="shared" si="7"/>
        <v>0.24659696394160643</v>
      </c>
      <c r="U26">
        <f t="shared" si="9"/>
        <v>1.3802008419474135E-2</v>
      </c>
      <c r="X26">
        <f t="shared" si="8"/>
        <v>1.4000000000000001</v>
      </c>
      <c r="Y26">
        <f t="shared" si="10"/>
        <v>0.14085842092104495</v>
      </c>
      <c r="Z26">
        <f>Y26/$Y$76</f>
        <v>8.0179021691223692E-3</v>
      </c>
      <c r="AB26">
        <f t="shared" si="4"/>
        <v>1.984109474437027E-2</v>
      </c>
      <c r="AC26">
        <f t="shared" si="3"/>
        <v>1.1293890386419978E-3</v>
      </c>
    </row>
    <row r="27" spans="19:29" x14ac:dyDescent="0.25">
      <c r="S27">
        <f t="shared" si="6"/>
        <v>1.3</v>
      </c>
      <c r="T27">
        <f t="shared" si="7"/>
        <v>0.27253179303401259</v>
      </c>
      <c r="U27">
        <f t="shared" si="9"/>
        <v>1.525357831623805E-2</v>
      </c>
      <c r="X27">
        <f t="shared" si="8"/>
        <v>1.3</v>
      </c>
      <c r="Y27">
        <f t="shared" si="10"/>
        <v>0.18451952399298924</v>
      </c>
      <c r="Z27">
        <f>Y27/$Y$76</f>
        <v>1.0503166811007299E-2</v>
      </c>
      <c r="AB27">
        <f t="shared" si="4"/>
        <v>3.4047454734599331E-2</v>
      </c>
      <c r="AC27">
        <f t="shared" si="3"/>
        <v>1.9380393403860296E-3</v>
      </c>
    </row>
    <row r="28" spans="19:29" x14ac:dyDescent="0.25">
      <c r="S28">
        <f t="shared" si="6"/>
        <v>1.2</v>
      </c>
      <c r="T28">
        <f t="shared" si="7"/>
        <v>0.30119421191220214</v>
      </c>
      <c r="U28">
        <f t="shared" si="9"/>
        <v>1.6857811151695601E-2</v>
      </c>
      <c r="X28">
        <f t="shared" si="8"/>
        <v>1.2</v>
      </c>
      <c r="Y28">
        <f t="shared" si="10"/>
        <v>0.23692775868212176</v>
      </c>
      <c r="Z28">
        <f>Y28/$Y$76</f>
        <v>1.3486333141044506E-2</v>
      </c>
      <c r="AB28">
        <f t="shared" si="4"/>
        <v>5.6134762834133725E-2</v>
      </c>
      <c r="AC28">
        <f t="shared" si="3"/>
        <v>3.1952866839480942E-3</v>
      </c>
    </row>
    <row r="29" spans="19:29" x14ac:dyDescent="0.25">
      <c r="S29">
        <f t="shared" si="6"/>
        <v>1.0999999999999999</v>
      </c>
      <c r="T29">
        <f t="shared" si="7"/>
        <v>0.33287108369807961</v>
      </c>
      <c r="U29">
        <f t="shared" si="9"/>
        <v>1.8630762627265318E-2</v>
      </c>
      <c r="X29">
        <f t="shared" si="8"/>
        <v>1.0999999999999999</v>
      </c>
      <c r="Y29">
        <f t="shared" si="10"/>
        <v>0.29819727942988744</v>
      </c>
      <c r="Z29">
        <f>Y29/$Y$76</f>
        <v>1.6973899025230867E-2</v>
      </c>
      <c r="AB29">
        <f t="shared" si="4"/>
        <v>8.8921617459386385E-2</v>
      </c>
      <c r="AC29">
        <f t="shared" si="3"/>
        <v>5.0615705106414628E-3</v>
      </c>
    </row>
    <row r="30" spans="19:29" x14ac:dyDescent="0.25">
      <c r="S30">
        <f t="shared" si="6"/>
        <v>0.99999999999999989</v>
      </c>
      <c r="T30">
        <f t="shared" si="7"/>
        <v>0.36787944117144239</v>
      </c>
      <c r="U30">
        <f t="shared" si="9"/>
        <v>2.0590177037224277E-2</v>
      </c>
      <c r="X30">
        <f t="shared" si="8"/>
        <v>0.99999999999999989</v>
      </c>
      <c r="Y30">
        <f t="shared" si="10"/>
        <v>0.36787944117144239</v>
      </c>
      <c r="Z30">
        <f>Y30/$Y$76</f>
        <v>2.094032681934847E-2</v>
      </c>
      <c r="AB30">
        <f t="shared" si="4"/>
        <v>0.13533528323661276</v>
      </c>
      <c r="AC30">
        <f t="shared" si="3"/>
        <v>7.7035157282492831E-3</v>
      </c>
    </row>
    <row r="31" spans="19:29" x14ac:dyDescent="0.25">
      <c r="S31">
        <f t="shared" si="6"/>
        <v>0.89999999999999991</v>
      </c>
      <c r="T31">
        <f t="shared" si="7"/>
        <v>0.40656965974059917</v>
      </c>
      <c r="U31">
        <f t="shared" si="9"/>
        <v>2.2755664859569272E-2</v>
      </c>
      <c r="X31">
        <f t="shared" si="8"/>
        <v>0.89999999999999991</v>
      </c>
      <c r="Y31">
        <f t="shared" si="10"/>
        <v>0.44485806622294122</v>
      </c>
      <c r="Z31">
        <f>Y31/$Y$76</f>
        <v>2.5322081781108487E-2</v>
      </c>
      <c r="AB31">
        <f t="shared" si="4"/>
        <v>0.19789869908361474</v>
      </c>
      <c r="AC31">
        <f t="shared" si="3"/>
        <v>1.1264732333883093E-2</v>
      </c>
    </row>
    <row r="32" spans="19:29" x14ac:dyDescent="0.25">
      <c r="S32">
        <f t="shared" si="6"/>
        <v>0.79999999999999993</v>
      </c>
      <c r="T32">
        <f t="shared" si="7"/>
        <v>0.44932896411722162</v>
      </c>
      <c r="U32">
        <f t="shared" si="9"/>
        <v>2.514889902427192E-2</v>
      </c>
      <c r="X32">
        <f t="shared" si="8"/>
        <v>0.79999999999999993</v>
      </c>
      <c r="Y32">
        <f t="shared" si="10"/>
        <v>0.52729242404304866</v>
      </c>
      <c r="Z32">
        <f>Y32/$Y$76</f>
        <v>3.0014386380678933E-2</v>
      </c>
      <c r="AB32">
        <f t="shared" si="4"/>
        <v>0.27803730045319419</v>
      </c>
      <c r="AC32">
        <f t="shared" si="3"/>
        <v>1.5826358550832857E-2</v>
      </c>
    </row>
    <row r="33" spans="19:29" x14ac:dyDescent="0.25">
      <c r="S33">
        <f t="shared" si="6"/>
        <v>0.7</v>
      </c>
      <c r="T33">
        <f t="shared" si="7"/>
        <v>0.49658530379140953</v>
      </c>
      <c r="U33">
        <f t="shared" si="9"/>
        <v>2.7793831823246358E-2</v>
      </c>
      <c r="X33">
        <f t="shared" si="8"/>
        <v>0.7</v>
      </c>
      <c r="Y33">
        <f t="shared" si="10"/>
        <v>0.61262639418441611</v>
      </c>
      <c r="Z33">
        <f>Y33/$Y$76</f>
        <v>3.4871741871550198E-2</v>
      </c>
      <c r="AB33">
        <f t="shared" si="4"/>
        <v>0.37531109885139957</v>
      </c>
      <c r="AC33">
        <f t="shared" si="3"/>
        <v>2.1363349481697519E-2</v>
      </c>
    </row>
    <row r="34" spans="19:29" x14ac:dyDescent="0.25">
      <c r="S34">
        <f t="shared" si="6"/>
        <v>0.6</v>
      </c>
      <c r="T34">
        <f t="shared" si="7"/>
        <v>0.54881163609402639</v>
      </c>
      <c r="U34">
        <f t="shared" si="9"/>
        <v>3.0716934632937325E-2</v>
      </c>
      <c r="X34">
        <f t="shared" si="8"/>
        <v>0.6</v>
      </c>
      <c r="Y34">
        <f t="shared" si="10"/>
        <v>0.69767632607103103</v>
      </c>
      <c r="Z34">
        <f>Y34/$Y$76</f>
        <v>3.9712929419291026E-2</v>
      </c>
      <c r="AB34">
        <f t="shared" si="4"/>
        <v>0.48675225595997168</v>
      </c>
      <c r="AC34">
        <f t="shared" si="3"/>
        <v>2.7706770694769133E-2</v>
      </c>
    </row>
    <row r="35" spans="19:29" x14ac:dyDescent="0.25">
      <c r="S35">
        <f t="shared" si="6"/>
        <v>0.5</v>
      </c>
      <c r="T35">
        <f t="shared" si="7"/>
        <v>0.60653065971263342</v>
      </c>
      <c r="U35">
        <f t="shared" si="9"/>
        <v>3.3947462848753003E-2</v>
      </c>
      <c r="X35">
        <f t="shared" si="8"/>
        <v>0.5</v>
      </c>
      <c r="Y35">
        <f t="shared" si="10"/>
        <v>0.77880078307140488</v>
      </c>
      <c r="Z35">
        <f>Y35/$Y$76</f>
        <v>4.4330672224435534E-2</v>
      </c>
      <c r="AB35">
        <f t="shared" si="4"/>
        <v>0.60653065971263342</v>
      </c>
      <c r="AC35">
        <f t="shared" si="3"/>
        <v>3.4524762242472175E-2</v>
      </c>
    </row>
    <row r="36" spans="19:29" x14ac:dyDescent="0.25">
      <c r="S36">
        <f t="shared" si="6"/>
        <v>0.4</v>
      </c>
      <c r="T36">
        <f t="shared" si="7"/>
        <v>0.67032004603563933</v>
      </c>
      <c r="U36">
        <f t="shared" si="9"/>
        <v>3.7517748682895299E-2</v>
      </c>
      <c r="X36">
        <f t="shared" si="8"/>
        <v>0.4</v>
      </c>
      <c r="Y36">
        <f t="shared" si="10"/>
        <v>0.85214378896621135</v>
      </c>
      <c r="Z36">
        <f>Y36/$Y$76</f>
        <v>4.8505481527342215E-2</v>
      </c>
      <c r="AB36">
        <f t="shared" si="4"/>
        <v>0.72614903707369083</v>
      </c>
      <c r="AC36">
        <f t="shared" si="3"/>
        <v>4.1333644814339966E-2</v>
      </c>
    </row>
    <row r="37" spans="19:29" x14ac:dyDescent="0.25">
      <c r="S37">
        <f t="shared" si="6"/>
        <v>0.30000000000000004</v>
      </c>
      <c r="T37">
        <f t="shared" si="7"/>
        <v>0.74081822068171788</v>
      </c>
      <c r="U37">
        <f t="shared" si="9"/>
        <v>4.1463524756006814E-2</v>
      </c>
      <c r="X37">
        <f t="shared" si="8"/>
        <v>0.30000000000000004</v>
      </c>
      <c r="Y37">
        <f t="shared" si="10"/>
        <v>0.91393118527122819</v>
      </c>
      <c r="Z37">
        <f>Y37/$Y$76</f>
        <v>5.2022525773749793E-2</v>
      </c>
      <c r="AB37">
        <f t="shared" si="4"/>
        <v>0.835270211411272</v>
      </c>
      <c r="AC37">
        <f t="shared" si="3"/>
        <v>4.7545008641206164E-2</v>
      </c>
    </row>
    <row r="38" spans="19:29" x14ac:dyDescent="0.25">
      <c r="S38">
        <f t="shared" si="6"/>
        <v>0.2</v>
      </c>
      <c r="T38">
        <f t="shared" si="7"/>
        <v>0.81873075307798182</v>
      </c>
      <c r="U38">
        <f t="shared" si="9"/>
        <v>4.5824281721248389E-2</v>
      </c>
      <c r="X38">
        <f t="shared" si="8"/>
        <v>0.2</v>
      </c>
      <c r="Y38">
        <f t="shared" si="10"/>
        <v>0.96078943915232318</v>
      </c>
      <c r="Z38">
        <f>Y38/$Y$76</f>
        <v>5.4689777706419918E-2</v>
      </c>
      <c r="AB38">
        <f t="shared" si="4"/>
        <v>0.92311634638663576</v>
      </c>
      <c r="AC38">
        <f t="shared" si="3"/>
        <v>5.2545360849916421E-2</v>
      </c>
    </row>
    <row r="39" spans="19:29" x14ac:dyDescent="0.25">
      <c r="S39">
        <f>S40+0.1</f>
        <v>0.1</v>
      </c>
      <c r="T39">
        <f t="shared" si="7"/>
        <v>0.90483741803595952</v>
      </c>
      <c r="U39">
        <f t="shared" si="9"/>
        <v>5.0643663500029204E-2</v>
      </c>
      <c r="X39">
        <f>X40+0.1</f>
        <v>0.1</v>
      </c>
      <c r="Y39">
        <f t="shared" si="10"/>
        <v>0.99004983374916811</v>
      </c>
      <c r="Z39">
        <f>Y39/$Y$76</f>
        <v>5.6355329398490375E-2</v>
      </c>
      <c r="AB39">
        <f t="shared" si="4"/>
        <v>0.98019867330675525</v>
      </c>
      <c r="AC39">
        <f t="shared" si="3"/>
        <v>5.5794584501854989E-2</v>
      </c>
    </row>
    <row r="40" spans="19:29" x14ac:dyDescent="0.25">
      <c r="S40">
        <v>0</v>
      </c>
      <c r="T40">
        <v>1</v>
      </c>
      <c r="U40">
        <f t="shared" si="9"/>
        <v>5.596990408504144E-2</v>
      </c>
      <c r="X40">
        <v>0</v>
      </c>
      <c r="Y40">
        <v>1</v>
      </c>
      <c r="Z40">
        <f>Y40/$Y$76</f>
        <v>5.692170987502853E-2</v>
      </c>
      <c r="AB40">
        <v>1</v>
      </c>
      <c r="AC40">
        <f t="shared" si="3"/>
        <v>5.692170987502853E-2</v>
      </c>
    </row>
    <row r="41" spans="19:29" x14ac:dyDescent="0.25">
      <c r="S41">
        <f>S40+0.1</f>
        <v>0.1</v>
      </c>
      <c r="T41">
        <f t="shared" ref="T41:T68" si="11">(S41^(($H$3)-1))*EXP(-($H$4*S41))</f>
        <v>0.90483741803595952</v>
      </c>
      <c r="U41">
        <f t="shared" si="9"/>
        <v>5.0643663500029204E-2</v>
      </c>
      <c r="X41">
        <f>X40+0.1</f>
        <v>0.1</v>
      </c>
      <c r="Y41">
        <f t="shared" si="10"/>
        <v>0.99004983374916811</v>
      </c>
      <c r="Z41">
        <f>Y41/$Y$76</f>
        <v>5.6355329398490375E-2</v>
      </c>
      <c r="AB41">
        <f t="shared" si="4"/>
        <v>0.98019867330675525</v>
      </c>
      <c r="AC41">
        <f t="shared" si="3"/>
        <v>5.5794584501854989E-2</v>
      </c>
    </row>
    <row r="42" spans="19:29" x14ac:dyDescent="0.25">
      <c r="S42">
        <f t="shared" ref="S42:S68" si="12">S41+0.1</f>
        <v>0.2</v>
      </c>
      <c r="T42">
        <f t="shared" si="11"/>
        <v>0.81873075307798182</v>
      </c>
      <c r="U42">
        <f t="shared" si="9"/>
        <v>4.5824281721248389E-2</v>
      </c>
      <c r="X42">
        <f t="shared" ref="X42:X75" si="13">X41+0.1</f>
        <v>0.2</v>
      </c>
      <c r="Y42">
        <f t="shared" si="10"/>
        <v>0.96078943915232318</v>
      </c>
      <c r="Z42">
        <f>Y42/$Y$76</f>
        <v>5.4689777706419918E-2</v>
      </c>
      <c r="AB42">
        <f t="shared" si="4"/>
        <v>0.92311634638663576</v>
      </c>
      <c r="AC42">
        <f t="shared" si="3"/>
        <v>5.2545360849916421E-2</v>
      </c>
    </row>
    <row r="43" spans="19:29" x14ac:dyDescent="0.25">
      <c r="S43">
        <f t="shared" si="12"/>
        <v>0.30000000000000004</v>
      </c>
      <c r="T43">
        <f t="shared" si="11"/>
        <v>0.74081822068171788</v>
      </c>
      <c r="U43">
        <f t="shared" si="9"/>
        <v>4.1463524756006814E-2</v>
      </c>
      <c r="X43">
        <f t="shared" si="13"/>
        <v>0.30000000000000004</v>
      </c>
      <c r="Y43">
        <f t="shared" si="10"/>
        <v>0.91393118527122819</v>
      </c>
      <c r="Z43">
        <f>Y43/$Y$76</f>
        <v>5.2022525773749793E-2</v>
      </c>
      <c r="AB43">
        <f t="shared" si="4"/>
        <v>0.835270211411272</v>
      </c>
      <c r="AC43">
        <f t="shared" si="3"/>
        <v>4.7545008641206164E-2</v>
      </c>
    </row>
    <row r="44" spans="19:29" x14ac:dyDescent="0.25">
      <c r="S44">
        <f t="shared" si="12"/>
        <v>0.4</v>
      </c>
      <c r="T44">
        <f t="shared" si="11"/>
        <v>0.67032004603563933</v>
      </c>
      <c r="U44">
        <f t="shared" si="9"/>
        <v>3.7517748682895299E-2</v>
      </c>
      <c r="X44">
        <f t="shared" si="13"/>
        <v>0.4</v>
      </c>
      <c r="Y44">
        <f t="shared" si="10"/>
        <v>0.85214378896621135</v>
      </c>
      <c r="Z44">
        <f>Y44/$Y$76</f>
        <v>4.8505481527342215E-2</v>
      </c>
      <c r="AB44">
        <f t="shared" si="4"/>
        <v>0.72614903707369083</v>
      </c>
      <c r="AC44">
        <f t="shared" si="3"/>
        <v>4.1333644814339966E-2</v>
      </c>
    </row>
    <row r="45" spans="19:29" x14ac:dyDescent="0.25">
      <c r="S45">
        <f t="shared" si="12"/>
        <v>0.5</v>
      </c>
      <c r="T45">
        <f t="shared" si="11"/>
        <v>0.60653065971263342</v>
      </c>
      <c r="U45">
        <f t="shared" si="9"/>
        <v>3.3947462848753003E-2</v>
      </c>
      <c r="X45">
        <f t="shared" si="13"/>
        <v>0.5</v>
      </c>
      <c r="Y45">
        <f t="shared" si="10"/>
        <v>0.77880078307140488</v>
      </c>
      <c r="Z45">
        <f>Y45/$Y$76</f>
        <v>4.4330672224435534E-2</v>
      </c>
      <c r="AB45">
        <f t="shared" si="4"/>
        <v>0.60653065971263342</v>
      </c>
      <c r="AC45">
        <f t="shared" si="3"/>
        <v>3.4524762242472175E-2</v>
      </c>
    </row>
    <row r="46" spans="19:29" x14ac:dyDescent="0.25">
      <c r="S46">
        <f t="shared" si="12"/>
        <v>0.6</v>
      </c>
      <c r="T46">
        <f t="shared" si="11"/>
        <v>0.54881163609402639</v>
      </c>
      <c r="U46">
        <f t="shared" si="9"/>
        <v>3.0716934632937325E-2</v>
      </c>
      <c r="X46">
        <f t="shared" si="13"/>
        <v>0.6</v>
      </c>
      <c r="Y46">
        <f t="shared" si="10"/>
        <v>0.69767632607103103</v>
      </c>
      <c r="Z46">
        <f>Y46/$Y$76</f>
        <v>3.9712929419291026E-2</v>
      </c>
      <c r="AB46">
        <f t="shared" si="4"/>
        <v>0.48675225595997168</v>
      </c>
      <c r="AC46">
        <f t="shared" si="3"/>
        <v>2.7706770694769133E-2</v>
      </c>
    </row>
    <row r="47" spans="19:29" x14ac:dyDescent="0.25">
      <c r="S47">
        <f t="shared" si="12"/>
        <v>0.7</v>
      </c>
      <c r="T47">
        <f t="shared" si="11"/>
        <v>0.49658530379140953</v>
      </c>
      <c r="U47">
        <f t="shared" si="9"/>
        <v>2.7793831823246358E-2</v>
      </c>
      <c r="X47">
        <f t="shared" si="13"/>
        <v>0.7</v>
      </c>
      <c r="Y47">
        <f t="shared" si="10"/>
        <v>0.61262639418441611</v>
      </c>
      <c r="Z47">
        <f>Y47/$Y$76</f>
        <v>3.4871741871550198E-2</v>
      </c>
      <c r="AB47">
        <f t="shared" si="4"/>
        <v>0.37531109885139957</v>
      </c>
      <c r="AC47">
        <f t="shared" si="3"/>
        <v>2.1363349481697519E-2</v>
      </c>
    </row>
    <row r="48" spans="19:29" x14ac:dyDescent="0.25">
      <c r="S48">
        <f t="shared" si="12"/>
        <v>0.79999999999999993</v>
      </c>
      <c r="T48">
        <f t="shared" si="11"/>
        <v>0.44932896411722162</v>
      </c>
      <c r="U48">
        <f t="shared" si="9"/>
        <v>2.514889902427192E-2</v>
      </c>
      <c r="X48">
        <f t="shared" si="13"/>
        <v>0.79999999999999993</v>
      </c>
      <c r="Y48">
        <f t="shared" si="10"/>
        <v>0.52729242404304866</v>
      </c>
      <c r="Z48">
        <f>Y48/$Y$76</f>
        <v>3.0014386380678933E-2</v>
      </c>
      <c r="AB48">
        <f t="shared" si="4"/>
        <v>0.27803730045319419</v>
      </c>
      <c r="AC48">
        <f t="shared" si="3"/>
        <v>1.5826358550832857E-2</v>
      </c>
    </row>
    <row r="49" spans="19:29" x14ac:dyDescent="0.25">
      <c r="S49">
        <f t="shared" si="12"/>
        <v>0.89999999999999991</v>
      </c>
      <c r="T49">
        <f t="shared" si="11"/>
        <v>0.40656965974059917</v>
      </c>
      <c r="U49">
        <f t="shared" si="9"/>
        <v>2.2755664859569272E-2</v>
      </c>
      <c r="X49">
        <f t="shared" si="13"/>
        <v>0.89999999999999991</v>
      </c>
      <c r="Y49">
        <f t="shared" si="10"/>
        <v>0.44485806622294122</v>
      </c>
      <c r="Z49">
        <f>Y49/$Y$76</f>
        <v>2.5322081781108487E-2</v>
      </c>
      <c r="AB49">
        <f t="shared" si="4"/>
        <v>0.19789869908361474</v>
      </c>
      <c r="AC49">
        <f t="shared" si="3"/>
        <v>1.1264732333883093E-2</v>
      </c>
    </row>
    <row r="50" spans="19:29" x14ac:dyDescent="0.25">
      <c r="S50">
        <f t="shared" si="12"/>
        <v>0.99999999999999989</v>
      </c>
      <c r="T50">
        <f t="shared" si="11"/>
        <v>0.36787944117144239</v>
      </c>
      <c r="U50">
        <f t="shared" si="9"/>
        <v>2.0590177037224277E-2</v>
      </c>
      <c r="X50">
        <f t="shared" si="13"/>
        <v>0.99999999999999989</v>
      </c>
      <c r="Y50">
        <f t="shared" si="10"/>
        <v>0.36787944117144239</v>
      </c>
      <c r="Z50">
        <f>Y50/$Y$76</f>
        <v>2.094032681934847E-2</v>
      </c>
      <c r="AB50">
        <f t="shared" si="4"/>
        <v>0.13533528323661276</v>
      </c>
      <c r="AC50">
        <f t="shared" si="3"/>
        <v>7.7035157282492831E-3</v>
      </c>
    </row>
    <row r="51" spans="19:29" x14ac:dyDescent="0.25">
      <c r="S51">
        <f t="shared" si="12"/>
        <v>1.0999999999999999</v>
      </c>
      <c r="T51">
        <f t="shared" si="11"/>
        <v>0.33287108369807961</v>
      </c>
      <c r="U51">
        <f t="shared" si="9"/>
        <v>1.8630762627265318E-2</v>
      </c>
      <c r="X51">
        <f t="shared" si="13"/>
        <v>1.0999999999999999</v>
      </c>
      <c r="Y51">
        <f t="shared" si="10"/>
        <v>0.29819727942988744</v>
      </c>
      <c r="Z51">
        <f>Y51/$Y$76</f>
        <v>1.6973899025230867E-2</v>
      </c>
      <c r="AB51">
        <f t="shared" si="4"/>
        <v>8.8921617459386385E-2</v>
      </c>
      <c r="AC51">
        <f t="shared" si="3"/>
        <v>5.0615705106414628E-3</v>
      </c>
    </row>
    <row r="52" spans="19:29" x14ac:dyDescent="0.25">
      <c r="S52">
        <f t="shared" si="12"/>
        <v>1.2</v>
      </c>
      <c r="T52">
        <f t="shared" si="11"/>
        <v>0.30119421191220214</v>
      </c>
      <c r="U52">
        <f t="shared" si="9"/>
        <v>1.6857811151695601E-2</v>
      </c>
      <c r="X52">
        <f t="shared" si="13"/>
        <v>1.2</v>
      </c>
      <c r="Y52">
        <f t="shared" si="10"/>
        <v>0.23692775868212176</v>
      </c>
      <c r="Z52">
        <f>Y52/$Y$76</f>
        <v>1.3486333141044506E-2</v>
      </c>
      <c r="AB52">
        <f t="shared" si="4"/>
        <v>5.6134762834133725E-2</v>
      </c>
      <c r="AC52">
        <f t="shared" si="3"/>
        <v>3.1952866839480942E-3</v>
      </c>
    </row>
    <row r="53" spans="19:29" x14ac:dyDescent="0.25">
      <c r="S53">
        <f t="shared" si="12"/>
        <v>1.3</v>
      </c>
      <c r="T53">
        <f t="shared" si="11"/>
        <v>0.27253179303401259</v>
      </c>
      <c r="U53">
        <f t="shared" si="9"/>
        <v>1.525357831623805E-2</v>
      </c>
      <c r="X53">
        <f t="shared" si="13"/>
        <v>1.3</v>
      </c>
      <c r="Y53">
        <f t="shared" si="10"/>
        <v>0.18451952399298924</v>
      </c>
      <c r="Z53">
        <f>Y53/$Y$76</f>
        <v>1.0503166811007299E-2</v>
      </c>
      <c r="AB53">
        <f t="shared" si="4"/>
        <v>3.4047454734599331E-2</v>
      </c>
      <c r="AC53">
        <f t="shared" si="3"/>
        <v>1.9380393403860296E-3</v>
      </c>
    </row>
    <row r="54" spans="19:29" x14ac:dyDescent="0.25">
      <c r="S54">
        <f t="shared" si="12"/>
        <v>1.4000000000000001</v>
      </c>
      <c r="T54">
        <f t="shared" si="11"/>
        <v>0.24659696394160643</v>
      </c>
      <c r="U54">
        <f t="shared" si="9"/>
        <v>1.3802008419474135E-2</v>
      </c>
      <c r="X54">
        <f t="shared" si="13"/>
        <v>1.4000000000000001</v>
      </c>
      <c r="Y54">
        <f t="shared" si="10"/>
        <v>0.14085842092104495</v>
      </c>
      <c r="Z54">
        <f>Y54/$Y$76</f>
        <v>8.0179021691223692E-3</v>
      </c>
      <c r="AB54">
        <f t="shared" si="4"/>
        <v>1.984109474437027E-2</v>
      </c>
      <c r="AC54">
        <f t="shared" si="3"/>
        <v>1.1293890386419978E-3</v>
      </c>
    </row>
    <row r="55" spans="19:29" x14ac:dyDescent="0.25">
      <c r="S55">
        <f t="shared" si="12"/>
        <v>1.5000000000000002</v>
      </c>
      <c r="T55">
        <f t="shared" si="11"/>
        <v>0.22313016014842979</v>
      </c>
      <c r="U55">
        <f t="shared" si="9"/>
        <v>1.2488573661987551E-2</v>
      </c>
      <c r="X55">
        <f t="shared" si="13"/>
        <v>1.5000000000000002</v>
      </c>
      <c r="Y55">
        <f t="shared" si="10"/>
        <v>0.10539922456186425</v>
      </c>
      <c r="Z55">
        <f>Y55/$Y$76</f>
        <v>5.9995040815634176E-3</v>
      </c>
      <c r="AB55">
        <f t="shared" si="4"/>
        <v>1.1108996538242287E-2</v>
      </c>
      <c r="AC55">
        <f t="shared" si="3"/>
        <v>6.3234307795252372E-4</v>
      </c>
    </row>
    <row r="56" spans="19:29" x14ac:dyDescent="0.25">
      <c r="S56">
        <f t="shared" si="12"/>
        <v>1.6000000000000003</v>
      </c>
      <c r="T56">
        <f t="shared" si="11"/>
        <v>0.20189651799465536</v>
      </c>
      <c r="U56">
        <f t="shared" si="9"/>
        <v>1.1300128747264705E-2</v>
      </c>
      <c r="X56">
        <f t="shared" si="13"/>
        <v>1.6000000000000003</v>
      </c>
      <c r="Y56">
        <f t="shared" si="10"/>
        <v>7.7304740443299672E-2</v>
      </c>
      <c r="Z56">
        <f>Y56/$Y$76</f>
        <v>4.4003180074778884E-3</v>
      </c>
      <c r="AB56">
        <f t="shared" si="4"/>
        <v>5.9760228950059323E-3</v>
      </c>
      <c r="AC56">
        <f t="shared" si="3"/>
        <v>3.4016544143605575E-4</v>
      </c>
    </row>
    <row r="57" spans="19:29" x14ac:dyDescent="0.25">
      <c r="S57">
        <f t="shared" si="12"/>
        <v>1.7000000000000004</v>
      </c>
      <c r="T57">
        <f t="shared" si="11"/>
        <v>0.18268352405273458</v>
      </c>
      <c r="U57">
        <f t="shared" si="9"/>
        <v>1.0224779319148915E-2</v>
      </c>
      <c r="X57">
        <f t="shared" si="13"/>
        <v>1.7000000000000004</v>
      </c>
      <c r="Y57">
        <f t="shared" si="10"/>
        <v>5.5576212611482989E-2</v>
      </c>
      <c r="Z57">
        <f>Y57/$Y$76</f>
        <v>3.1634930502237361E-3</v>
      </c>
      <c r="AB57">
        <f t="shared" si="4"/>
        <v>3.0887154082367605E-3</v>
      </c>
      <c r="AC57">
        <f t="shared" si="3"/>
        <v>1.7581496235418318E-4</v>
      </c>
    </row>
    <row r="58" spans="19:29" x14ac:dyDescent="0.25">
      <c r="S58">
        <f t="shared" si="12"/>
        <v>1.8000000000000005</v>
      </c>
      <c r="T58">
        <f t="shared" si="11"/>
        <v>0.16529888822158645</v>
      </c>
      <c r="U58">
        <f t="shared" si="9"/>
        <v>9.2517629191261799E-3</v>
      </c>
      <c r="X58">
        <f t="shared" si="13"/>
        <v>1.8000000000000005</v>
      </c>
      <c r="Y58">
        <f t="shared" si="10"/>
        <v>3.916389509898701E-2</v>
      </c>
      <c r="Z58">
        <f>Y58/$Y$76</f>
        <v>2.2292758744005903E-3</v>
      </c>
      <c r="AB58">
        <f t="shared" si="4"/>
        <v>1.5338106793244589E-3</v>
      </c>
      <c r="AC58">
        <f t="shared" si="3"/>
        <v>8.7307126491727272E-5</v>
      </c>
    </row>
    <row r="59" spans="19:29" x14ac:dyDescent="0.25">
      <c r="S59">
        <f t="shared" si="12"/>
        <v>1.9000000000000006</v>
      </c>
      <c r="T59">
        <f t="shared" si="11"/>
        <v>0.14956861922263498</v>
      </c>
      <c r="U59">
        <f t="shared" si="9"/>
        <v>8.3713412720229658E-3</v>
      </c>
      <c r="X59">
        <f t="shared" si="13"/>
        <v>1.9000000000000006</v>
      </c>
      <c r="Y59">
        <f t="shared" si="10"/>
        <v>2.7051846866350353E-2</v>
      </c>
      <c r="Z59">
        <f t="shared" ref="Z59:Z75" si="14">Y59/$Y$76</f>
        <v>1.5398373789100943E-3</v>
      </c>
      <c r="AB59">
        <f t="shared" si="4"/>
        <v>7.3180241888046952E-4</v>
      </c>
      <c r="AC59">
        <f t="shared" si="3"/>
        <v>4.1655444973358182E-5</v>
      </c>
    </row>
    <row r="60" spans="19:29" x14ac:dyDescent="0.25">
      <c r="S60">
        <f t="shared" si="12"/>
        <v>2.0000000000000004</v>
      </c>
      <c r="T60">
        <f t="shared" si="11"/>
        <v>0.13533528323661262</v>
      </c>
      <c r="U60">
        <f t="shared" si="9"/>
        <v>7.574702822075125E-3</v>
      </c>
      <c r="X60">
        <f t="shared" si="13"/>
        <v>2.0000000000000004</v>
      </c>
      <c r="Y60">
        <f t="shared" si="10"/>
        <v>1.8315638888734147E-2</v>
      </c>
      <c r="Z60">
        <f t="shared" si="14"/>
        <v>1.042557483000315E-3</v>
      </c>
      <c r="AB60">
        <f t="shared" si="4"/>
        <v>3.3546262790251066E-4</v>
      </c>
      <c r="AC60">
        <f t="shared" si="3"/>
        <v>1.909510637938136E-5</v>
      </c>
    </row>
    <row r="61" spans="19:29" x14ac:dyDescent="0.25">
      <c r="S61">
        <f t="shared" si="12"/>
        <v>2.1000000000000005</v>
      </c>
      <c r="T61">
        <f t="shared" si="11"/>
        <v>0.12245642825298185</v>
      </c>
      <c r="U61">
        <f t="shared" si="9"/>
        <v>6.8538745439161528E-3</v>
      </c>
      <c r="X61">
        <f t="shared" si="13"/>
        <v>2.1000000000000005</v>
      </c>
      <c r="Y61">
        <f t="shared" si="10"/>
        <v>1.2155178329914914E-2</v>
      </c>
      <c r="Z61">
        <f t="shared" si="14"/>
        <v>6.918935343746505E-4</v>
      </c>
      <c r="AB61">
        <f t="shared" si="4"/>
        <v>1.4774836023203312E-4</v>
      </c>
      <c r="AC61">
        <f t="shared" si="3"/>
        <v>8.4100892956389923E-6</v>
      </c>
    </row>
    <row r="62" spans="19:29" x14ac:dyDescent="0.25">
      <c r="S62">
        <f t="shared" si="12"/>
        <v>2.2000000000000006</v>
      </c>
      <c r="T62">
        <f t="shared" si="11"/>
        <v>0.11080315836233381</v>
      </c>
      <c r="U62">
        <f t="shared" si="9"/>
        <v>6.201642145859481E-3</v>
      </c>
      <c r="X62">
        <f t="shared" si="13"/>
        <v>2.2000000000000006</v>
      </c>
      <c r="Y62">
        <f t="shared" si="10"/>
        <v>7.9070540515934207E-3</v>
      </c>
      <c r="Z62">
        <f t="shared" si="14"/>
        <v>4.5008303669096954E-4</v>
      </c>
      <c r="AB62">
        <f t="shared" si="4"/>
        <v>6.2521503774819922E-5</v>
      </c>
      <c r="AC62">
        <f t="shared" si="3"/>
        <v>3.5588308988208005E-6</v>
      </c>
    </row>
    <row r="63" spans="19:29" x14ac:dyDescent="0.25">
      <c r="S63">
        <f t="shared" si="12"/>
        <v>2.3000000000000007</v>
      </c>
      <c r="T63">
        <f t="shared" si="11"/>
        <v>0.10025884372280366</v>
      </c>
      <c r="U63">
        <f t="shared" si="9"/>
        <v>5.6114778668424799E-3</v>
      </c>
      <c r="X63">
        <f t="shared" si="13"/>
        <v>2.3000000000000007</v>
      </c>
      <c r="Y63">
        <f t="shared" si="10"/>
        <v>5.0417602596909607E-3</v>
      </c>
      <c r="Z63">
        <f t="shared" si="14"/>
        <v>2.8698561476157733E-4</v>
      </c>
      <c r="AB63">
        <f t="shared" si="4"/>
        <v>2.5419346516199068E-5</v>
      </c>
      <c r="AC63">
        <f t="shared" si="3"/>
        <v>1.4469126676079005E-6</v>
      </c>
    </row>
    <row r="64" spans="19:29" x14ac:dyDescent="0.25">
      <c r="S64">
        <f t="shared" si="12"/>
        <v>2.4000000000000008</v>
      </c>
      <c r="T64">
        <f t="shared" si="11"/>
        <v>9.0717953289412429E-2</v>
      </c>
      <c r="U64">
        <f t="shared" si="9"/>
        <v>5.0774751443996837E-3</v>
      </c>
      <c r="X64">
        <f t="shared" si="13"/>
        <v>2.4000000000000008</v>
      </c>
      <c r="Y64">
        <f t="shared" si="10"/>
        <v>3.1511115984444271E-3</v>
      </c>
      <c r="Z64">
        <f t="shared" si="14"/>
        <v>1.7936666019049106E-4</v>
      </c>
      <c r="AB64">
        <f t="shared" si="4"/>
        <v>9.9295043058509931E-6</v>
      </c>
      <c r="AC64">
        <f t="shared" si="3"/>
        <v>5.6520436330049675E-7</v>
      </c>
    </row>
    <row r="65" spans="19:29" x14ac:dyDescent="0.25">
      <c r="S65">
        <f t="shared" si="12"/>
        <v>2.5000000000000009</v>
      </c>
      <c r="T65">
        <f t="shared" si="11"/>
        <v>8.2084998623898717E-2</v>
      </c>
      <c r="U65">
        <f t="shared" si="9"/>
        <v>4.59428949980037E-3</v>
      </c>
      <c r="X65">
        <f t="shared" si="13"/>
        <v>2.5000000000000009</v>
      </c>
      <c r="Y65">
        <f t="shared" si="10"/>
        <v>1.9304541362277006E-3</v>
      </c>
      <c r="Z65">
        <f t="shared" si="14"/>
        <v>1.0988475026940198E-4</v>
      </c>
      <c r="AB65">
        <f t="shared" si="4"/>
        <v>3.7266531720786379E-6</v>
      </c>
      <c r="AC65">
        <f t="shared" si="3"/>
        <v>2.1212747066591498E-7</v>
      </c>
    </row>
    <row r="66" spans="19:29" x14ac:dyDescent="0.25">
      <c r="S66">
        <f t="shared" si="12"/>
        <v>2.600000000000001</v>
      </c>
      <c r="T66">
        <f t="shared" si="11"/>
        <v>7.4273578214333807E-2</v>
      </c>
      <c r="U66">
        <f t="shared" si="9"/>
        <v>4.1570850487090867E-3</v>
      </c>
      <c r="X66">
        <f t="shared" si="13"/>
        <v>2.600000000000001</v>
      </c>
      <c r="Y66">
        <f t="shared" si="10"/>
        <v>1.1592291739045853E-3</v>
      </c>
      <c r="Z66">
        <f t="shared" si="14"/>
        <v>6.5985306715665791E-5</v>
      </c>
      <c r="AB66">
        <f t="shared" si="4"/>
        <v>1.343812277631507E-6</v>
      </c>
      <c r="AC66">
        <f t="shared" si="3"/>
        <v>7.6492092593841932E-8</v>
      </c>
    </row>
    <row r="67" spans="19:29" x14ac:dyDescent="0.25">
      <c r="S67">
        <f t="shared" si="12"/>
        <v>2.7000000000000011</v>
      </c>
      <c r="T67">
        <f t="shared" si="11"/>
        <v>6.7205512739749687E-2</v>
      </c>
      <c r="U67">
        <f t="shared" si="9"/>
        <v>3.7614861020298204E-3</v>
      </c>
      <c r="X67">
        <f t="shared" si="13"/>
        <v>2.7000000000000011</v>
      </c>
      <c r="Y67">
        <f t="shared" si="10"/>
        <v>6.82328052756373E-4</v>
      </c>
      <c r="Z67">
        <f t="shared" si="14"/>
        <v>3.8839279458591425E-5</v>
      </c>
      <c r="AB67">
        <f t="shared" si="4"/>
        <v>4.6557157157830369E-7</v>
      </c>
      <c r="AC67">
        <f t="shared" si="3"/>
        <v>2.650112992344128E-8</v>
      </c>
    </row>
    <row r="68" spans="19:29" x14ac:dyDescent="0.25">
      <c r="S68">
        <f t="shared" si="12"/>
        <v>2.8000000000000012</v>
      </c>
      <c r="T68">
        <f t="shared" si="11"/>
        <v>6.0810062625217896E-2</v>
      </c>
      <c r="U68">
        <f t="shared" si="9"/>
        <v>3.4035333725388091E-3</v>
      </c>
      <c r="X68">
        <f t="shared" si="13"/>
        <v>2.8000000000000012</v>
      </c>
      <c r="Y68">
        <f t="shared" si="10"/>
        <v>3.936690406550758E-4</v>
      </c>
      <c r="Z68">
        <f t="shared" si="14"/>
        <v>2.2408314918949035E-5</v>
      </c>
      <c r="AB68">
        <f t="shared" si="4"/>
        <v>1.5497531357028774E-7</v>
      </c>
      <c r="AC68">
        <f t="shared" si="3"/>
        <v>8.8214598368394905E-9</v>
      </c>
    </row>
    <row r="69" spans="19:29" x14ac:dyDescent="0.25">
      <c r="T69">
        <f>SUM(T22:T68)</f>
        <v>17.866744929213855</v>
      </c>
      <c r="X69">
        <f t="shared" si="13"/>
        <v>2.9000000000000012</v>
      </c>
      <c r="Y69">
        <f t="shared" si="10"/>
        <v>2.226298569188874E-4</v>
      </c>
      <c r="Z69">
        <f t="shared" si="14"/>
        <v>1.267247212505602E-5</v>
      </c>
      <c r="AB69">
        <f t="shared" si="4"/>
        <v>4.9564053191724273E-8</v>
      </c>
      <c r="AC69">
        <f t="shared" ref="AC69:AC75" si="15">AB69/$Y$76</f>
        <v>2.8212706560098108E-9</v>
      </c>
    </row>
    <row r="70" spans="19:29" x14ac:dyDescent="0.25">
      <c r="X70">
        <f t="shared" si="13"/>
        <v>3.0000000000000013</v>
      </c>
      <c r="Y70">
        <f t="shared" si="10"/>
        <v>1.2340980408667867E-4</v>
      </c>
      <c r="Z70">
        <f t="shared" si="14"/>
        <v>7.0246970639560333E-6</v>
      </c>
      <c r="AB70">
        <f t="shared" ref="AB70:AB75" si="16">(X70^(($H$3)-1))*EXP(-($H$5*X70^2))</f>
        <v>1.5229979744712411E-8</v>
      </c>
      <c r="AC70">
        <f t="shared" si="15"/>
        <v>8.6691648843108086E-10</v>
      </c>
    </row>
    <row r="71" spans="19:29" x14ac:dyDescent="0.25">
      <c r="X71">
        <f t="shared" si="13"/>
        <v>3.1000000000000014</v>
      </c>
      <c r="Y71">
        <f t="shared" si="10"/>
        <v>6.7054824302810538E-5</v>
      </c>
      <c r="Z71">
        <f t="shared" si="14"/>
        <v>3.8168752546855936E-6</v>
      </c>
      <c r="AB71">
        <f t="shared" si="16"/>
        <v>4.4963494622807898E-9</v>
      </c>
      <c r="AC71">
        <f t="shared" si="15"/>
        <v>2.5593989958868766E-10</v>
      </c>
    </row>
    <row r="72" spans="19:29" x14ac:dyDescent="0.25">
      <c r="X72">
        <f t="shared" si="13"/>
        <v>3.2000000000000015</v>
      </c>
      <c r="Y72">
        <f t="shared" si="10"/>
        <v>3.5712849641634893E-5</v>
      </c>
      <c r="Z72">
        <f t="shared" si="14"/>
        <v>2.0328364661116578E-6</v>
      </c>
      <c r="AB72">
        <f t="shared" si="16"/>
        <v>1.2754076295260214E-9</v>
      </c>
      <c r="AC72">
        <f t="shared" si="15"/>
        <v>7.2598383060278064E-11</v>
      </c>
    </row>
    <row r="73" spans="19:29" x14ac:dyDescent="0.25">
      <c r="X73">
        <f t="shared" si="13"/>
        <v>3.3000000000000016</v>
      </c>
      <c r="Y73">
        <f t="shared" si="10"/>
        <v>1.8643742331516621E-5</v>
      </c>
      <c r="Z73">
        <f t="shared" si="14"/>
        <v>1.061233691979377E-6</v>
      </c>
      <c r="AB73">
        <f t="shared" si="16"/>
        <v>3.4758912812398481E-10</v>
      </c>
      <c r="AC73">
        <f t="shared" si="15"/>
        <v>1.9785367506787581E-11</v>
      </c>
    </row>
    <row r="74" spans="19:29" x14ac:dyDescent="0.25">
      <c r="X74">
        <f t="shared" si="13"/>
        <v>3.4000000000000017</v>
      </c>
      <c r="Y74">
        <f t="shared" si="10"/>
        <v>9.540162873079129E-6</v>
      </c>
      <c r="Z74">
        <f t="shared" si="14"/>
        <v>5.4304238322192881E-7</v>
      </c>
      <c r="AB74">
        <f t="shared" si="16"/>
        <v>9.1014707644877412E-11</v>
      </c>
      <c r="AC74">
        <f t="shared" si="15"/>
        <v>5.1807127829222533E-12</v>
      </c>
    </row>
    <row r="75" spans="19:29" x14ac:dyDescent="0.25">
      <c r="X75">
        <f t="shared" si="13"/>
        <v>3.5000000000000018</v>
      </c>
      <c r="Y75">
        <f t="shared" si="10"/>
        <v>4.7851173921289495E-6</v>
      </c>
      <c r="Z75">
        <f t="shared" si="14"/>
        <v>2.7237706391271717E-7</v>
      </c>
      <c r="AB75">
        <f t="shared" si="16"/>
        <v>2.2897348456454958E-11</v>
      </c>
      <c r="AC75">
        <f t="shared" si="15"/>
        <v>1.3033562257457613E-12</v>
      </c>
    </row>
    <row r="76" spans="19:29" x14ac:dyDescent="0.25">
      <c r="Y76">
        <f>SUM(Y22:Y58)</f>
        <v>17.567989475289789</v>
      </c>
      <c r="AB76">
        <f>SUM(AB22:AB58)</f>
        <v>12.53050408153816</v>
      </c>
    </row>
  </sheetData>
  <sortState ref="S2:S29">
    <sortCondition descending="1" ref="S2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ChrisAndLucy</dc:creator>
  <cp:lastModifiedBy>ChrisAndLucy</cp:lastModifiedBy>
  <dcterms:created xsi:type="dcterms:W3CDTF">2014-07-28T12:54:18Z</dcterms:created>
  <dcterms:modified xsi:type="dcterms:W3CDTF">2014-07-30T14:09:09Z</dcterms:modified>
</cp:coreProperties>
</file>